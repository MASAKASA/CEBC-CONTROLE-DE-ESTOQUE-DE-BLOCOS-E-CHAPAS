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esktop\CEBC\CEBC-CONTROLE-DE-ESTOQUE-DE-BLOCOS-E-CHAPAS\"/>
    </mc:Choice>
  </mc:AlternateContent>
  <xr:revisionPtr revIDLastSave="0" documentId="13_ncr:1_{A44F628D-41E6-4805-A575-F57410888B4D}" xr6:coauthVersionLast="37" xr6:coauthVersionMax="37" xr10:uidLastSave="{00000000-0000-0000-0000-000000000000}"/>
  <bookViews>
    <workbookView xWindow="-120" yWindow="-120" windowWidth="25440" windowHeight="15390" activeTab="5" xr2:uid="{7B09110E-6612-4390-90D1-885760460467}"/>
  </bookViews>
  <sheets>
    <sheet name="INICIO" sheetId="1" r:id="rId1"/>
    <sheet name="DESPACHE PDF" sheetId="2" r:id="rId2"/>
    <sheet name="BLOCOS PDF" sheetId="3" r:id="rId3"/>
    <sheet name="CHAPAS PDF" sheetId="4" r:id="rId4"/>
    <sheet name="LISTA DESPACHE PDF" sheetId="5" r:id="rId5"/>
    <sheet name="AUXILIAR" sheetId="6" r:id="rId6"/>
  </sheets>
  <functionGroups builtInGroupCount="19"/>
  <definedNames>
    <definedName name="_xlnm.Print_Area" localSheetId="2">'BLOCOS PDF'!$A$1:$X$123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23" i="3" l="1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P5" i="3"/>
  <c r="E5" i="3"/>
  <c r="P4" i="3"/>
  <c r="E4" i="3"/>
  <c r="X3" i="3"/>
  <c r="T2" i="3"/>
  <c r="P3" i="3" l="1"/>
</calcChain>
</file>

<file path=xl/sharedStrings.xml><?xml version="1.0" encoding="utf-8"?>
<sst xmlns="http://schemas.openxmlformats.org/spreadsheetml/2006/main" count="61" uniqueCount="51">
  <si>
    <t>DES</t>
  </si>
  <si>
    <t>SUBTOTAL(9;ESTOQUE_BLOCOS[PREÇO BLOCO])+SUBTOTAL(9;ESTOQUE_BLOCOS[FRETE])+SUBTOTAL(9;ESTOQUE_BLOCOS[ADICIONAIS])</t>
  </si>
  <si>
    <t>ESTOQUE DE BLOCOS</t>
  </si>
  <si>
    <t>CONTAGEM</t>
  </si>
  <si>
    <t>BLOCOS PEDREIRA:</t>
  </si>
  <si>
    <t>TOTAL DE BLOCOS:</t>
  </si>
  <si>
    <t>BLOCOS EM ELSON:</t>
  </si>
  <si>
    <t>ELSON BABISQUE</t>
  </si>
  <si>
    <t>TOTAL EM ESTOQUE:</t>
  </si>
  <si>
    <t>BLOCOS NA MAIS BRASIL:</t>
  </si>
  <si>
    <t>MAIS BRASIL</t>
  </si>
  <si>
    <t>CÓDIGO</t>
  </si>
  <si>
    <t>DESCRIÇÃO</t>
  </si>
  <si>
    <t>TIPO MATERIAL</t>
  </si>
  <si>
    <t>CUSTO M³</t>
  </si>
  <si>
    <t>QTD M³</t>
  </si>
  <si>
    <t>QTD CHAPAS</t>
  </si>
  <si>
    <t>COMP</t>
  </si>
  <si>
    <t>ALT</t>
  </si>
  <si>
    <t>LARG</t>
  </si>
  <si>
    <t>POLIMENTO</t>
  </si>
  <si>
    <t>SERRADA</t>
  </si>
  <si>
    <t>ADICIONAIS</t>
  </si>
  <si>
    <t>CUSTO TOTAL</t>
  </si>
  <si>
    <t>FRETE</t>
  </si>
  <si>
    <t>PREÇO BLOCO</t>
  </si>
  <si>
    <t>DATA CADASTRO</t>
  </si>
  <si>
    <t>ESTOQUE</t>
  </si>
  <si>
    <t>COD BLOCO PEDREIRA</t>
  </si>
  <si>
    <t>STATUS</t>
  </si>
  <si>
    <t>PEDREIRA</t>
  </si>
  <si>
    <t>SERRARIA</t>
  </si>
  <si>
    <t>Custo Serrada M²</t>
  </si>
  <si>
    <t>Custo Polimento simples M²</t>
  </si>
  <si>
    <t>OBSERVAÇÃO</t>
  </si>
  <si>
    <t>BLOCO AMARELO ARABESCO</t>
  </si>
  <si>
    <t>EXTRA</t>
  </si>
  <si>
    <t>CASA DO GRANITO</t>
  </si>
  <si>
    <t>COMERCIAL A</t>
  </si>
  <si>
    <t>002-ARABESCO-BL</t>
  </si>
  <si>
    <t>3,1</t>
  </si>
  <si>
    <t>1,85</t>
  </si>
  <si>
    <t>2,05</t>
  </si>
  <si>
    <t>4702,72</t>
  </si>
  <si>
    <t>18/03/2024</t>
  </si>
  <si>
    <t>CONTINENTAL STONES</t>
  </si>
  <si>
    <t xml:space="preserve"> </t>
  </si>
  <si>
    <t>0003-ARABESCO-BL</t>
  </si>
  <si>
    <t>1,9</t>
  </si>
  <si>
    <t>4089,75</t>
  </si>
  <si>
    <t>FRETE R$ 4.500,00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</si>
</sst>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800]dddd\,&quot; &quot;mmmm&quot; &quot;dd\,&quot; &quot;yyyy"/>
    <numFmt numFmtId="165" formatCode="[$-F400]h:mm:ss&quot; &quot;AM/PM"/>
    <numFmt numFmtId="166" formatCode="_-[$R$-416]&quot; &quot;* #,##0.00_-;\-[$R$-416]&quot; &quot;* #,##0.00_-;_-[$R$-416]&quot; &quot;* &quot;-&quot;??_-;_-@_-"/>
    <numFmt numFmtId="167" formatCode="0.0000"/>
    <numFmt numFmtId="168" formatCode="m/d/yyyy"/>
  </numFmts>
  <fonts count="13" x14ac:knownFonts="1">
    <font>
      <sz val="11"/>
      <color theme="1"/>
      <name val="Calibri"/>
      <family val="2"/>
      <scheme val="minor"/>
    </font>
    <font>
      <sz val="22"/>
      <color theme="1"/>
      <name val="Segoe UI"/>
      <family val="2"/>
    </font>
    <font>
      <sz val="22"/>
      <color theme="0"/>
      <name val="Segoe UI"/>
      <family val="2"/>
    </font>
    <font>
      <sz val="22"/>
      <color theme="1"/>
      <name val="Calibri"/>
      <family val="2"/>
      <scheme val="minor"/>
    </font>
    <font>
      <b/>
      <sz val="20"/>
      <color rgb="FF002060"/>
      <name val="Segoe UI"/>
      <family val="2"/>
    </font>
    <font>
      <b/>
      <sz val="18"/>
      <color rgb="FF002060"/>
      <name val="Segoe UI"/>
      <family val="2"/>
    </font>
    <font>
      <b/>
      <sz val="72"/>
      <color rgb="FF002060"/>
      <name val="Segoe UI"/>
      <family val="2"/>
    </font>
    <font>
      <sz val="20"/>
      <color theme="1"/>
      <name val="Segoe UI"/>
      <family val="2"/>
    </font>
    <font>
      <b/>
      <sz val="24"/>
      <color rgb="FF002060"/>
      <name val="Segoe UI"/>
      <family val="2"/>
    </font>
    <font>
      <b/>
      <sz val="24"/>
      <color theme="0"/>
      <name val="Segoe UI"/>
      <family val="2"/>
    </font>
    <font>
      <sz val="24"/>
      <color theme="1"/>
      <name val="Segoe UI"/>
      <family val="2"/>
    </font>
    <font>
      <sz val="24"/>
      <color theme="1"/>
      <name val="Calibri"/>
      <family val="2"/>
      <scheme val="minor"/>
    </font>
    <font>
      <sz val="2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64C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50B4FF"/>
        <bgColor indexed="64"/>
      </patternFill>
    </fill>
    <fill>
      <patternFill patternType="solid">
        <fgColor rgb="FFAAD7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AB4F0"/>
        <bgColor indexed="64"/>
      </patternFill>
    </fill>
  </fills>
  <borders count="16">
    <border>
      <left/>
      <right/>
      <top/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thin">
        <color theme="0"/>
      </bottom>
      <diagonal/>
    </border>
    <border>
      <left style="thin">
        <color rgb="FF002060"/>
      </left>
      <right/>
      <top style="medium">
        <color rgb="FF002060"/>
      </top>
      <bottom style="thin">
        <color theme="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/>
      <diagonal/>
    </border>
    <border>
      <left style="thin">
        <color rgb="FF002060"/>
      </left>
      <right/>
      <top style="medium">
        <color rgb="FF002060"/>
      </top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/>
      <bottom/>
      <diagonal/>
    </border>
    <border>
      <left style="thin">
        <color rgb="FF00206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/>
      <bottom style="medium">
        <color indexed="64"/>
      </bottom>
      <diagonal/>
    </border>
    <border>
      <left style="thin">
        <color rgb="FF002060"/>
      </left>
      <right style="medium">
        <color indexed="64"/>
      </right>
      <top/>
      <bottom style="medium">
        <color indexed="64"/>
      </bottom>
      <diagonal/>
    </border>
    <border>
      <left style="medium">
        <color rgb="FF002060"/>
      </left>
      <right style="thin">
        <color rgb="FF002060"/>
      </right>
      <top style="thin">
        <color theme="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/>
      <bottom style="medium">
        <color rgb="FF002060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164" fontId="4" fillId="0" borderId="0" xfId="0" applyNumberFormat="1" applyFont="1"/>
    <xf numFmtId="164" fontId="5" fillId="0" borderId="0" xfId="0" applyNumberFormat="1" applyFont="1"/>
    <xf numFmtId="0" fontId="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2" borderId="1" xfId="0" applyFont="1" applyFill="1" applyBorder="1"/>
    <xf numFmtId="0" fontId="9" fillId="2" borderId="2" xfId="0" applyFont="1" applyFill="1" applyBorder="1" applyAlignment="1">
      <alignment horizontal="right" vertical="center"/>
    </xf>
    <xf numFmtId="1" fontId="8" fillId="0" borderId="3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165" fontId="8" fillId="0" borderId="0" xfId="0" applyNumberFormat="1" applyFont="1" applyAlignment="1">
      <alignment horizontal="right" vertical="center"/>
    </xf>
    <xf numFmtId="0" fontId="1" fillId="2" borderId="4" xfId="0" applyFont="1" applyFill="1" applyBorder="1"/>
    <xf numFmtId="0" fontId="9" fillId="2" borderId="5" xfId="0" applyFont="1" applyFill="1" applyBorder="1" applyAlignment="1">
      <alignment horizontal="right" vertical="center"/>
    </xf>
    <xf numFmtId="0" fontId="1" fillId="2" borderId="8" xfId="0" applyFont="1" applyFill="1" applyBorder="1"/>
    <xf numFmtId="0" fontId="9" fillId="2" borderId="9" xfId="0" applyFont="1" applyFill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1" fillId="2" borderId="10" xfId="0" applyFont="1" applyFill="1" applyBorder="1"/>
    <xf numFmtId="0" fontId="9" fillId="2" borderId="11" xfId="0" applyFont="1" applyFill="1" applyBorder="1" applyAlignment="1">
      <alignment horizontal="right" vertical="center"/>
    </xf>
    <xf numFmtId="0" fontId="1" fillId="2" borderId="14" xfId="0" applyFont="1" applyFill="1" applyBorder="1"/>
    <xf numFmtId="0" fontId="9" fillId="2" borderId="15" xfId="0" applyFont="1" applyFill="1" applyBorder="1" applyAlignment="1">
      <alignment horizontal="right" vertical="center"/>
    </xf>
    <xf numFmtId="1" fontId="8" fillId="0" borderId="7" xfId="0" applyNumberFormat="1" applyFont="1" applyBorder="1" applyAlignment="1">
      <alignment horizontal="center" vertical="center"/>
    </xf>
    <xf numFmtId="0" fontId="12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166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11" fontId="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right" vertical="center"/>
    </xf>
    <xf numFmtId="1" fontId="8" fillId="0" borderId="6" xfId="0" applyNumberFormat="1" applyFont="1" applyBorder="1" applyAlignment="1">
      <alignment horizontal="center" vertical="center"/>
    </xf>
    <xf numFmtId="1" fontId="8" fillId="0" borderId="7" xfId="0" applyNumberFormat="1" applyFont="1" applyBorder="1" applyAlignment="1">
      <alignment horizontal="center" vertical="center"/>
    </xf>
    <xf numFmtId="166" fontId="8" fillId="0" borderId="12" xfId="0" applyNumberFormat="1" applyFont="1" applyBorder="1" applyAlignment="1">
      <alignment horizontal="center" vertical="center"/>
    </xf>
    <xf numFmtId="166" fontId="8" fillId="0" borderId="13" xfId="0" applyNumberFormat="1" applyFont="1" applyBorder="1" applyAlignment="1">
      <alignment horizontal="center" vertical="center"/>
    </xf>
  </cellXfs>
  <cellStyles count="1">
    <cellStyle name="Normal" xfId="0" builtinId="0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8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4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color rgb="FF002060"/>
      </font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MATERIAIS" pivot="0" count="4" xr9:uid="{4F1F0BE7-8773-4AA8-BA4C-1C91A2793754}">
      <tableStyleElement type="wholeTable" dxfId="33"/>
      <tableStyleElement type="headerRow" dxfId="32"/>
      <tableStyleElement type="firstRowStripe" dxfId="31"/>
      <tableStyleElement type="secondRowStripe" dxfId="30"/>
    </tableStyle>
  </tableStyles>
  <colors>
    <mruColors>
      <color rgb="FFFAB4F0"/>
      <color rgb="FFFA28E1"/>
      <color rgb="FF50B4FF"/>
      <color rgb="FFAAD7FF"/>
      <color rgb="FF0064C8"/>
      <color rgb="FF007DFA"/>
      <color rgb="FF0032C8"/>
      <color rgb="FF50E6FF"/>
      <color rgb="FF64B4FF"/>
      <color rgb="FFC8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4.png"/><Relationship Id="rId7" Type="http://schemas.openxmlformats.org/officeDocument/2006/relationships/image" Target="../media/image8.sv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307975</xdr:rowOff>
    </xdr:from>
    <xdr:to>
      <xdr:col>1</xdr:col>
      <xdr:colOff>3824889</xdr:colOff>
      <xdr:row>4</xdr:row>
      <xdr:rowOff>196850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1D270DA-76F7-4986-B879-C049D68A9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7975"/>
          <a:ext cx="7882539" cy="195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11</xdr:row>
      <xdr:rowOff>38100</xdr:rowOff>
    </xdr:from>
    <xdr:to>
      <xdr:col>2</xdr:col>
      <xdr:colOff>285750</xdr:colOff>
      <xdr:row>16</xdr:row>
      <xdr:rowOff>0</xdr:rowOff>
    </xdr:to>
    <xdr:pic>
      <xdr:nvPicPr>
        <xdr:cNvPr id="4" name="Gráfico 3" descr="Trancar">
          <a:extLst>
            <a:ext uri="{FF2B5EF4-FFF2-40B4-BE49-F238E27FC236}">
              <a16:creationId xmlns:a16="http://schemas.microsoft.com/office/drawing/2014/main" id="{84A81FF9-5D75-40E3-BA86-3A3BA46A2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0550" y="2133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340500</xdr:colOff>
      <xdr:row>11</xdr:row>
      <xdr:rowOff>45225</xdr:rowOff>
    </xdr:from>
    <xdr:to>
      <xdr:col>4</xdr:col>
      <xdr:colOff>35700</xdr:colOff>
      <xdr:row>16</xdr:row>
      <xdr:rowOff>7125</xdr:rowOff>
    </xdr:to>
    <xdr:pic>
      <xdr:nvPicPr>
        <xdr:cNvPr id="6" name="Gráfico 5" descr="Desbloquear">
          <a:extLst>
            <a:ext uri="{FF2B5EF4-FFF2-40B4-BE49-F238E27FC236}">
              <a16:creationId xmlns:a16="http://schemas.microsoft.com/office/drawing/2014/main" id="{CCFCA813-B991-408B-9690-5504C23E3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59700" y="214072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76200</xdr:rowOff>
    </xdr:from>
    <xdr:to>
      <xdr:col>4</xdr:col>
      <xdr:colOff>533400</xdr:colOff>
      <xdr:row>10</xdr:row>
      <xdr:rowOff>47625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FF46405-BC79-46CF-95FD-54A9DAEF6125}"/>
            </a:ext>
          </a:extLst>
        </xdr:cNvPr>
        <xdr:cNvSpPr/>
      </xdr:nvSpPr>
      <xdr:spPr>
        <a:xfrm>
          <a:off x="609600" y="1409700"/>
          <a:ext cx="2362200" cy="542925"/>
        </a:xfrm>
        <a:prstGeom prst="roundRect">
          <a:avLst/>
        </a:prstGeom>
        <a:solidFill>
          <a:srgbClr val="0064C8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19050</xdr:colOff>
      <xdr:row>17</xdr:row>
      <xdr:rowOff>9525</xdr:rowOff>
    </xdr:from>
    <xdr:to>
      <xdr:col>5</xdr:col>
      <xdr:colOff>38100</xdr:colOff>
      <xdr:row>17</xdr:row>
      <xdr:rowOff>9525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C3C7F6BF-B9E1-46E8-B8AB-BA6C12A8C857}"/>
            </a:ext>
          </a:extLst>
        </xdr:cNvPr>
        <xdr:cNvCxnSpPr/>
      </xdr:nvCxnSpPr>
      <xdr:spPr>
        <a:xfrm>
          <a:off x="628650" y="3248025"/>
          <a:ext cx="2457450" cy="0"/>
        </a:xfrm>
        <a:prstGeom prst="line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286613</xdr:colOff>
      <xdr:row>0</xdr:row>
      <xdr:rowOff>75622</xdr:rowOff>
    </xdr:from>
    <xdr:to>
      <xdr:col>5</xdr:col>
      <xdr:colOff>476250</xdr:colOff>
      <xdr:row>6</xdr:row>
      <xdr:rowOff>173182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CB7D732-BACB-4A81-A148-2DF6CC7DE089}"/>
            </a:ext>
          </a:extLst>
        </xdr:cNvPr>
        <xdr:cNvGrpSpPr/>
      </xdr:nvGrpSpPr>
      <xdr:grpSpPr>
        <a:xfrm>
          <a:off x="286613" y="75622"/>
          <a:ext cx="3220319" cy="1240560"/>
          <a:chOff x="615660" y="196850"/>
          <a:chExt cx="2415022" cy="57150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90026FA-3C95-4F32-9AAB-3F6F8C1CC368}"/>
              </a:ext>
            </a:extLst>
          </xdr:cNvPr>
          <xdr:cNvSpPr/>
        </xdr:nvSpPr>
        <xdr:spPr>
          <a:xfrm>
            <a:off x="615660" y="196850"/>
            <a:ext cx="2415022" cy="571500"/>
          </a:xfrm>
          <a:prstGeom prst="rect">
            <a:avLst/>
          </a:prstGeom>
          <a:solidFill>
            <a:srgbClr val="C8E6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D729FDCF-201F-41FF-8A4B-1025E613D9D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820658" y="263327"/>
            <a:ext cx="1988667" cy="4127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28574</xdr:colOff>
      <xdr:row>11</xdr:row>
      <xdr:rowOff>101599</xdr:rowOff>
    </xdr:from>
    <xdr:to>
      <xdr:col>5</xdr:col>
      <xdr:colOff>250825</xdr:colOff>
      <xdr:row>15</xdr:row>
      <xdr:rowOff>142874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BB42F06-439C-4DE7-98F8-77F3AD466CAF}"/>
            </a:ext>
          </a:extLst>
        </xdr:cNvPr>
        <xdr:cNvGrpSpPr/>
      </xdr:nvGrpSpPr>
      <xdr:grpSpPr>
        <a:xfrm>
          <a:off x="2453119" y="2197099"/>
          <a:ext cx="828388" cy="803275"/>
          <a:chOff x="2470438" y="2197099"/>
          <a:chExt cx="832717" cy="803275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D0144EEE-6D34-4088-85DA-3403D75A7EB8}"/>
              </a:ext>
            </a:extLst>
          </xdr:cNvPr>
          <xdr:cNvSpPr/>
        </xdr:nvSpPr>
        <xdr:spPr>
          <a:xfrm>
            <a:off x="2470438" y="2197099"/>
            <a:ext cx="832717" cy="803275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Gráfico 9" descr="Adicionar">
            <a:extLst>
              <a:ext uri="{FF2B5EF4-FFF2-40B4-BE49-F238E27FC236}">
                <a16:creationId xmlns:a16="http://schemas.microsoft.com/office/drawing/2014/main" id="{E3B74769-9E3A-4A53-AF16-A0260A2B7C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rcRect l="7382" t="6944" r="7382" b="7292"/>
          <a:stretch/>
        </xdr:blipFill>
        <xdr:spPr>
          <a:xfrm>
            <a:off x="2479974" y="2206625"/>
            <a:ext cx="807290" cy="784225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>
    <xdr:from>
      <xdr:col>0</xdr:col>
      <xdr:colOff>600075</xdr:colOff>
      <xdr:row>18</xdr:row>
      <xdr:rowOff>3175</xdr:rowOff>
    </xdr:from>
    <xdr:to>
      <xdr:col>5</xdr:col>
      <xdr:colOff>9525</xdr:colOff>
      <xdr:row>20</xdr:row>
      <xdr:rowOff>165100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869A167-30C5-4673-A51D-8DAC6459F756}"/>
            </a:ext>
          </a:extLst>
        </xdr:cNvPr>
        <xdr:cNvSpPr/>
      </xdr:nvSpPr>
      <xdr:spPr>
        <a:xfrm>
          <a:off x="600075" y="3432175"/>
          <a:ext cx="2457450" cy="542925"/>
        </a:xfrm>
        <a:prstGeom prst="rect">
          <a:avLst/>
        </a:prstGeom>
        <a:solidFill>
          <a:srgbClr val="0064C8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4041</xdr:colOff>
      <xdr:row>22</xdr:row>
      <xdr:rowOff>4041</xdr:rowOff>
    </xdr:from>
    <xdr:to>
      <xdr:col>2</xdr:col>
      <xdr:colOff>0</xdr:colOff>
      <xdr:row>25</xdr:row>
      <xdr:rowOff>69850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B8F2A1C7-A05C-46D6-BC71-1A16B8770C99}"/>
            </a:ext>
          </a:extLst>
        </xdr:cNvPr>
        <xdr:cNvGrpSpPr/>
      </xdr:nvGrpSpPr>
      <xdr:grpSpPr>
        <a:xfrm>
          <a:off x="610177" y="4195041"/>
          <a:ext cx="602096" cy="637309"/>
          <a:chOff x="614553" y="4183895"/>
          <a:chExt cx="606471" cy="635789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F2419C0E-DC65-4CB5-9B17-908E0CFBFD04}"/>
              </a:ext>
            </a:extLst>
          </xdr:cNvPr>
          <xdr:cNvSpPr/>
        </xdr:nvSpPr>
        <xdr:spPr>
          <a:xfrm>
            <a:off x="614553" y="4183895"/>
            <a:ext cx="606471" cy="635789"/>
          </a:xfrm>
          <a:prstGeom prst="rect">
            <a:avLst/>
          </a:prstGeom>
          <a:solidFill>
            <a:srgbClr val="AAD7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E8F4682F-B708-4578-8F20-6396ED38442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87" t="11600" r="10590" b="8420"/>
          <a:stretch/>
        </xdr:blipFill>
        <xdr:spPr>
          <a:xfrm>
            <a:off x="635911" y="4220262"/>
            <a:ext cx="561975" cy="583547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207818</xdr:colOff>
      <xdr:row>0</xdr:row>
      <xdr:rowOff>164524</xdr:rowOff>
    </xdr:from>
    <xdr:to>
      <xdr:col>20</xdr:col>
      <xdr:colOff>484910</xdr:colOff>
      <xdr:row>15</xdr:row>
      <xdr:rowOff>1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D9E49AF-B84C-477C-9CD3-651D1A89FBF0}"/>
            </a:ext>
          </a:extLst>
        </xdr:cNvPr>
        <xdr:cNvGrpSpPr/>
      </xdr:nvGrpSpPr>
      <xdr:grpSpPr>
        <a:xfrm>
          <a:off x="5056909" y="164524"/>
          <a:ext cx="7550728" cy="2692977"/>
          <a:chOff x="4918364" y="632114"/>
          <a:chExt cx="7550728" cy="2692977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EEC4E7B-92A2-48C8-873F-C8A06E6193DE}"/>
              </a:ext>
            </a:extLst>
          </xdr:cNvPr>
          <xdr:cNvSpPr/>
        </xdr:nvSpPr>
        <xdr:spPr>
          <a:xfrm>
            <a:off x="4918364" y="632114"/>
            <a:ext cx="7550728" cy="2692977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D0B5C36C-9E7A-4FEA-B228-444A3E8F018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4953001" y="649430"/>
            <a:ext cx="7448830" cy="263236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9A3552-A812-4A5F-8775-3E081A481681}" name="ESTOQUE_BLOCOS" displayName="ESTOQUE_BLOCOS" ref="A7:Y123" totalsRowShown="0" headerRowDxfId="29" dataDxfId="28">
  <autoFilter ref="A7:Y123" xr:uid="{0803DF71-ED57-48BE-9F72-212EC24F674A}"/>
  <sortState ref="A8:Y8">
    <sortCondition ref="B7:B8"/>
  </sortState>
  <tableColumns count="25">
    <tableColumn id="1" xr3:uid="{EE06FD3E-ED31-4290-9CD1-B480052FCD3D}" name="CÓDIGO" dataDxfId="27"/>
    <tableColumn id="2" xr3:uid="{E17FCF39-B40E-4B6C-97B5-F665A749AC45}" name="DESCRIÇÃO" dataDxfId="26"/>
    <tableColumn id="3" xr3:uid="{24E96436-8C94-4F08-8C50-C57D04F83474}" name="TIPO MATERIAL" dataDxfId="25"/>
    <tableColumn id="4" xr3:uid="{11CAF5D6-E681-472F-B868-A31863D425BB}" name="CUSTO M³" dataDxfId="24"/>
    <tableColumn id="5" xr3:uid="{C94529B4-2EA4-42C5-AA56-53A2249A00C2}" name="QTD M³" dataDxfId="23"/>
    <tableColumn id="6" xr3:uid="{900431D7-FD8F-40ED-8F16-7735D4255142}" name="QTD CHAPAS" dataDxfId="22"/>
    <tableColumn id="7" xr3:uid="{0D089ED1-E8AE-429F-B393-FCAA2FCB5B38}" name="COMP" dataDxfId="21"/>
    <tableColumn id="8" xr3:uid="{4C38E26B-6754-402B-B3AF-1E6F8E0ECA5D}" name="ALT" dataDxfId="20"/>
    <tableColumn id="9" xr3:uid="{23211EAD-F1D1-4D76-9F4D-E7B6E4512B5C}" name="LARG" dataDxfId="19"/>
    <tableColumn id="11" xr3:uid="{24BDEFDA-8B83-43BE-BB1D-A7FC39429A33}" name="POLIMENTO" dataDxfId="18"/>
    <tableColumn id="12" xr3:uid="{9060C990-9218-4452-8D52-1475E72E6553}" name="SERRADA" dataDxfId="17"/>
    <tableColumn id="13" xr3:uid="{003EC5BE-6F74-4815-B0B8-97B8C9D78C4E}" name="ADICIONAIS" dataDxfId="16"/>
    <tableColumn id="14" xr3:uid="{8D6F4C64-22C0-4633-9D02-4392FEE16FEF}" name="CUSTO TOTAL" dataDxfId="15"/>
    <tableColumn id="15" xr3:uid="{F0E6F782-76AE-4C57-B141-6A954666738D}" name="FRETE" dataDxfId="14"/>
    <tableColumn id="19" xr3:uid="{24646B84-89DA-4C6F-BCA2-A67D79E505E1}" name="PREÇO BLOCO" dataDxfId="13"/>
    <tableColumn id="17" xr3:uid="{C7940D24-6F3B-4A49-9B5E-BF8DDDAD3043}" name="DATA CADASTRO" dataDxfId="12"/>
    <tableColumn id="18" xr3:uid="{600B39DE-91A3-4814-B5ED-C0C96AEA0C59}" name="ESTOQUE" dataDxfId="11"/>
    <tableColumn id="25" xr3:uid="{DD53418D-E053-45E8-AE79-CCCEC2CD3116}" name="COD BLOCO PEDREIRA" dataDxfId="10"/>
    <tableColumn id="20" xr3:uid="{928DBF7B-E0F0-46C6-B55F-AEEF38D21D11}" name="STATUS" dataDxfId="9"/>
    <tableColumn id="16" xr3:uid="{D44CC8D1-0755-415E-A442-66FA7DEF0B21}" name="PEDREIRA" dataDxfId="8"/>
    <tableColumn id="21" xr3:uid="{6FF6FFC6-8BD6-4670-8E63-5364182B155B}" name="SERRARIA" dataDxfId="7"/>
    <tableColumn id="22" xr3:uid="{6EAD13C9-496E-4391-9DB7-C1EBE5461B32}" name="Custo Serrada M²" dataDxfId="6"/>
    <tableColumn id="10" xr3:uid="{F64237CA-6B3E-44E4-A756-356A5B6E69A4}" name="Custo Polimento simples M²" dataDxfId="5"/>
    <tableColumn id="23" xr3:uid="{756D04EF-E345-4D2C-86DC-E21F99D659B8}" name="OBSERVAÇÃO" dataDxfId="4"/>
    <tableColumn id="24" xr3:uid="{E94D1FA7-24E0-4BC7-8982-7CA506FFD382}" name="CONTAGEM" dataDxfId="3">
      <calculatedColumnFormula>Tabela3[CONTAGEM]</calculatedColumnFormula>
    </tableColumn>
  </tableColumns>
  <tableStyleInfo name="MATERIAI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F9DCA-A693-493B-872F-3D421C0C6AC7}" name="Tabela3" displayName="Tabela3" ref="AA2:AA3" totalsRowShown="0" headerRowDxfId="2" dataDxfId="1">
  <autoFilter ref="AA2:AA3" xr:uid="{E85FDDF1-C516-45A7-9EF4-377408314DC8}"/>
  <tableColumns count="1">
    <tableColumn id="1" xr3:uid="{B73CBE65-E92F-4D5D-B92E-854A06FD9EDE}" name="CONTAGEM" dataDxfId="0"/>
  </tableColumns>
  <tableStyleInfo name="MATERIAIS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1A58B-6B35-4E52-AE48-045DD89A8A3C}">
  <sheetPr codeName="PlanInicio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5F6C0-9EBD-4B76-9638-4BC8C20A5B31}">
  <sheetPr codeName="PlanPDFChapasDespachad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>
    <row r="1" spans="1:1" x14ac:dyDescent="0.25">
      <c r="A1" s="7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AD0AF-9434-49A1-99EF-9EA3385FEA82}">
  <sheetPr codeName="PlanPDFBlocos">
    <pageSetUpPr fitToPage="1"/>
  </sheetPr>
  <dimension ref="A1:AA123"/>
  <sheetViews>
    <sheetView showGridLines="0" zoomScale="50" zoomScaleNormal="50" zoomScaleSheetLayoutView="50" workbookViewId="0">
      <selection activeCell="A8" sqref="A8"/>
    </sheetView>
  </sheetViews>
  <sheetFormatPr defaultRowHeight="65.099999999999994" customHeight="1" x14ac:dyDescent="0.6"/>
  <cols>
    <col min="1" max="1" width="60.85546875" style="9" customWidth="1"/>
    <col min="2" max="2" width="76.7109375" style="9" customWidth="1"/>
    <col min="3" max="3" width="28.7109375" style="9" customWidth="1"/>
    <col min="4" max="4" width="29.42578125" style="9" customWidth="1"/>
    <col min="5" max="5" width="27.5703125" style="9" bestFit="1" customWidth="1"/>
    <col min="6" max="6" width="20.85546875" style="9" customWidth="1"/>
    <col min="7" max="7" width="20.28515625" style="9" bestFit="1" customWidth="1"/>
    <col min="8" max="8" width="14.7109375" style="9" bestFit="1" customWidth="1"/>
    <col min="9" max="9" width="18.5703125" style="9" customWidth="1"/>
    <col min="10" max="10" width="33.5703125" style="9" customWidth="1"/>
    <col min="11" max="12" width="30.7109375" style="9" customWidth="1"/>
    <col min="13" max="13" width="37.7109375" style="9" customWidth="1"/>
    <col min="14" max="14" width="31.28515625" style="9" customWidth="1"/>
    <col min="15" max="15" width="30.28515625" style="9" customWidth="1"/>
    <col min="16" max="16" width="26.42578125" style="11" customWidth="1"/>
    <col min="17" max="17" width="38.5703125" style="9" customWidth="1"/>
    <col min="18" max="18" width="27.5703125" style="9" customWidth="1"/>
    <col min="19" max="19" width="35.7109375" style="9" customWidth="1"/>
    <col min="20" max="20" width="47.28515625" style="12" customWidth="1"/>
    <col min="21" max="21" width="35.7109375" style="11" customWidth="1"/>
    <col min="22" max="23" width="25.7109375" style="11" customWidth="1"/>
    <col min="24" max="24" width="41.85546875" style="12" customWidth="1"/>
    <col min="25" max="25" width="30.140625" style="11" customWidth="1"/>
    <col min="26" max="26" width="17.7109375" style="9" customWidth="1"/>
    <col min="27" max="27" width="33" style="9" bestFit="1" customWidth="1"/>
    <col min="28" max="16384" width="9.140625" style="9"/>
  </cols>
  <sheetData>
    <row r="1" spans="1:27" ht="39.950000000000003" customHeight="1" x14ac:dyDescent="0.6">
      <c r="K1" s="10" t="s">
        <v>1</v>
      </c>
      <c r="M1" s="11"/>
      <c r="N1" s="11"/>
      <c r="P1" s="9"/>
      <c r="Q1" s="11"/>
      <c r="R1" s="11"/>
      <c r="S1" s="11"/>
      <c r="U1" s="13"/>
      <c r="V1" s="13"/>
      <c r="W1" s="14"/>
      <c r="Y1" s="9"/>
      <c r="Z1" s="11"/>
    </row>
    <row r="2" spans="1:27" s="15" customFormat="1" ht="69" customHeight="1" thickBot="1" x14ac:dyDescent="0.3">
      <c r="C2" s="16" t="s">
        <v>2</v>
      </c>
      <c r="M2" s="17"/>
      <c r="N2" s="17"/>
      <c r="O2" s="18"/>
      <c r="P2" s="19"/>
      <c r="Q2" s="17"/>
      <c r="R2" s="17"/>
      <c r="S2" s="17"/>
      <c r="T2" s="48">
        <f ca="1">TODAY()</f>
        <v>45406</v>
      </c>
      <c r="U2" s="48"/>
      <c r="V2" s="48"/>
      <c r="W2" s="48"/>
      <c r="X2" s="48"/>
      <c r="Z2" s="17"/>
      <c r="AA2" s="15" t="s">
        <v>3</v>
      </c>
    </row>
    <row r="3" spans="1:27" ht="39.950000000000003" customHeight="1" thickBot="1" x14ac:dyDescent="0.65">
      <c r="M3" s="11"/>
      <c r="N3" s="20"/>
      <c r="O3" s="21" t="s">
        <v>4</v>
      </c>
      <c r="P3" s="22">
        <f>$E$4-$P$4-$P$5</f>
        <v>114</v>
      </c>
      <c r="Q3" s="11"/>
      <c r="R3" s="11"/>
      <c r="S3" s="11"/>
      <c r="T3" s="23"/>
      <c r="U3" s="24"/>
      <c r="V3" s="24"/>
      <c r="W3" s="24"/>
      <c r="X3" s="25">
        <f ca="1">NOW()</f>
        <v>45406.313140972219</v>
      </c>
      <c r="Y3" s="9"/>
      <c r="Z3" s="11"/>
      <c r="AA3" s="9">
        <v>1</v>
      </c>
    </row>
    <row r="4" spans="1:27" ht="30" customHeight="1" thickBot="1" x14ac:dyDescent="0.65">
      <c r="C4" s="26"/>
      <c r="D4" s="27" t="s">
        <v>5</v>
      </c>
      <c r="E4" s="49">
        <f>SUBTOTAL(9,ESTOQUE_BLOCOS[CONTAGEM])</f>
        <v>116</v>
      </c>
      <c r="F4" s="50"/>
      <c r="M4" s="11"/>
      <c r="N4" s="28"/>
      <c r="O4" s="29" t="s">
        <v>6</v>
      </c>
      <c r="P4" s="22">
        <f>SUMIF(ESTOQUE_BLOCOS[SERRARIA],$Q$4,ESTOQUE_BLOCOS[CONTAGEM])</f>
        <v>2</v>
      </c>
      <c r="Q4" s="10" t="s">
        <v>7</v>
      </c>
      <c r="S4" s="30" t="s">
        <v>4</v>
      </c>
      <c r="X4" s="9"/>
      <c r="Y4" s="9"/>
      <c r="Z4" s="11"/>
    </row>
    <row r="5" spans="1:27" ht="30" customHeight="1" thickBot="1" x14ac:dyDescent="0.65">
      <c r="C5" s="31"/>
      <c r="D5" s="32" t="s">
        <v>8</v>
      </c>
      <c r="E5" s="51">
        <f>SUBTOTAL(9,ESTOQUE_BLOCOS[CUSTO TOTAL])</f>
        <v>0</v>
      </c>
      <c r="F5" s="52"/>
      <c r="M5" s="11"/>
      <c r="N5" s="33"/>
      <c r="O5" s="34" t="s">
        <v>9</v>
      </c>
      <c r="P5" s="35">
        <f>SUMIF(ESTOQUE_BLOCOS[SERRARIA],$Q$5,ESTOQUE_BLOCOS[CONTAGEM])</f>
        <v>0</v>
      </c>
      <c r="Q5" s="36" t="s">
        <v>10</v>
      </c>
      <c r="R5" s="11"/>
      <c r="S5" s="11"/>
      <c r="X5" s="9"/>
      <c r="Y5" s="9"/>
      <c r="Z5" s="11"/>
    </row>
    <row r="6" spans="1:27" ht="19.5" customHeight="1" x14ac:dyDescent="0.6">
      <c r="M6" s="11"/>
      <c r="N6" s="11"/>
      <c r="Q6" s="11"/>
      <c r="R6" s="11"/>
      <c r="S6" s="11"/>
      <c r="X6" s="9"/>
      <c r="Y6" s="9"/>
      <c r="Z6" s="11"/>
    </row>
    <row r="7" spans="1:27" s="39" customFormat="1" ht="108" customHeight="1" x14ac:dyDescent="0.25">
      <c r="A7" s="37" t="s">
        <v>11</v>
      </c>
      <c r="B7" s="37" t="s">
        <v>12</v>
      </c>
      <c r="C7" s="38" t="s">
        <v>13</v>
      </c>
      <c r="D7" s="37" t="s">
        <v>14</v>
      </c>
      <c r="E7" s="37" t="s">
        <v>15</v>
      </c>
      <c r="F7" s="38" t="s">
        <v>16</v>
      </c>
      <c r="G7" s="37" t="s">
        <v>17</v>
      </c>
      <c r="H7" s="37" t="s">
        <v>18</v>
      </c>
      <c r="I7" s="37" t="s">
        <v>19</v>
      </c>
      <c r="J7" s="37" t="s">
        <v>20</v>
      </c>
      <c r="K7" s="37" t="s">
        <v>21</v>
      </c>
      <c r="L7" s="37" t="s">
        <v>22</v>
      </c>
      <c r="M7" s="37" t="s">
        <v>23</v>
      </c>
      <c r="N7" s="37" t="s">
        <v>24</v>
      </c>
      <c r="O7" s="38" t="s">
        <v>25</v>
      </c>
      <c r="P7" s="38" t="s">
        <v>26</v>
      </c>
      <c r="Q7" s="37" t="s">
        <v>27</v>
      </c>
      <c r="R7" s="38" t="s">
        <v>28</v>
      </c>
      <c r="S7" s="37" t="s">
        <v>29</v>
      </c>
      <c r="T7" s="38" t="s">
        <v>30</v>
      </c>
      <c r="U7" s="37" t="s">
        <v>31</v>
      </c>
      <c r="V7" s="38" t="s">
        <v>32</v>
      </c>
      <c r="W7" s="38" t="s">
        <v>33</v>
      </c>
      <c r="X7" s="37" t="s">
        <v>34</v>
      </c>
      <c r="Y7" s="37" t="s">
        <v>3</v>
      </c>
    </row>
    <row r="8" spans="1:27" ht="65.099999999999994" customHeight="1" x14ac:dyDescent="0.6">
      <c r="A8" s="40" t="s">
        <v>39</v>
      </c>
      <c r="B8" s="40" t="s">
        <v>35</v>
      </c>
      <c r="C8" s="40" t="s">
        <v>36</v>
      </c>
      <c r="D8" s="41">
        <v>0</v>
      </c>
      <c r="E8" s="42">
        <v>117568</v>
      </c>
      <c r="F8" s="43">
        <v>0</v>
      </c>
      <c r="G8" s="42" t="s">
        <v>40</v>
      </c>
      <c r="H8" s="42" t="s">
        <v>41</v>
      </c>
      <c r="I8" s="42" t="s">
        <v>42</v>
      </c>
      <c r="J8" s="41">
        <v>0</v>
      </c>
      <c r="K8" s="41">
        <v>0</v>
      </c>
      <c r="L8" s="41">
        <v>0</v>
      </c>
      <c r="M8" s="41">
        <v>0</v>
      </c>
      <c r="N8" s="41">
        <v>0</v>
      </c>
      <c r="O8" s="41" t="s">
        <v>43</v>
      </c>
      <c r="P8" s="44" t="s">
        <v>44</v>
      </c>
      <c r="Q8" s="45" t="s">
        <v>37</v>
      </c>
      <c r="R8" s="45">
        <v>2</v>
      </c>
      <c r="S8" s="45" t="s">
        <v>31</v>
      </c>
      <c r="T8" s="46" t="s">
        <v>45</v>
      </c>
      <c r="U8" s="40" t="s">
        <v>7</v>
      </c>
      <c r="V8" s="41">
        <v>0</v>
      </c>
      <c r="W8" s="41">
        <v>0</v>
      </c>
      <c r="X8" s="46" t="s">
        <v>46</v>
      </c>
      <c r="Y8" s="45">
        <f>Tabela3[CONTAGEM]</f>
        <v>1</v>
      </c>
    </row>
    <row r="9" spans="1:27" ht="64.5" customHeight="1" x14ac:dyDescent="0.6">
      <c r="A9" s="40" t="s">
        <v>47</v>
      </c>
      <c r="B9" s="40" t="s">
        <v>35</v>
      </c>
      <c r="C9" s="40" t="s">
        <v>38</v>
      </c>
      <c r="D9" s="41">
        <v>0</v>
      </c>
      <c r="E9" s="42">
        <v>11685</v>
      </c>
      <c r="F9" s="43">
        <v>0</v>
      </c>
      <c r="G9" s="42">
        <v>3</v>
      </c>
      <c r="H9" s="42" t="s">
        <v>48</v>
      </c>
      <c r="I9" s="42" t="s">
        <v>42</v>
      </c>
      <c r="J9" s="41">
        <v>0</v>
      </c>
      <c r="K9" s="41">
        <v>0</v>
      </c>
      <c r="L9" s="41">
        <v>0</v>
      </c>
      <c r="M9" s="41">
        <v>0</v>
      </c>
      <c r="N9" s="41">
        <v>0</v>
      </c>
      <c r="O9" s="41" t="s">
        <v>49</v>
      </c>
      <c r="P9" s="44">
        <v>45326</v>
      </c>
      <c r="Q9" s="45" t="s">
        <v>37</v>
      </c>
      <c r="R9" s="45">
        <v>3</v>
      </c>
      <c r="S9" s="45" t="s">
        <v>31</v>
      </c>
      <c r="T9" s="46" t="s">
        <v>45</v>
      </c>
      <c r="U9" s="40" t="s">
        <v>7</v>
      </c>
      <c r="V9" s="41">
        <v>0</v>
      </c>
      <c r="W9" s="41">
        <v>0</v>
      </c>
      <c r="X9" s="46" t="s">
        <v>50</v>
      </c>
      <c r="Y9" s="45">
        <f>Tabela3[CONTAGEM]</f>
        <v>1</v>
      </c>
    </row>
    <row r="10" spans="1:27" ht="65.099999999999994" customHeight="1" x14ac:dyDescent="0.6">
      <c r="A10" s="40"/>
      <c r="B10" s="40"/>
      <c r="C10" s="40"/>
      <c r="D10" s="41"/>
      <c r="E10" s="42"/>
      <c r="F10" s="43"/>
      <c r="G10" s="42"/>
      <c r="H10" s="42"/>
      <c r="I10" s="42"/>
      <c r="J10" s="41"/>
      <c r="K10" s="41"/>
      <c r="L10" s="41"/>
      <c r="M10" s="41"/>
      <c r="N10" s="41"/>
      <c r="O10" s="41"/>
      <c r="P10" s="44"/>
      <c r="Q10" s="45"/>
      <c r="R10" s="45"/>
      <c r="S10" s="45"/>
      <c r="T10" s="46"/>
      <c r="U10" s="40"/>
      <c r="V10" s="41"/>
      <c r="W10" s="41"/>
      <c r="X10" s="46"/>
      <c r="Y10" s="45">
        <f>Tabela3[CONTAGEM]</f>
        <v>1</v>
      </c>
    </row>
    <row r="11" spans="1:27" ht="65.099999999999994" customHeight="1" x14ac:dyDescent="0.6">
      <c r="A11" s="40"/>
      <c r="B11" s="40"/>
      <c r="C11" s="40"/>
      <c r="D11" s="41"/>
      <c r="E11" s="42"/>
      <c r="F11" s="43"/>
      <c r="G11" s="42"/>
      <c r="H11" s="42"/>
      <c r="I11" s="42"/>
      <c r="J11" s="41"/>
      <c r="K11" s="41"/>
      <c r="L11" s="41"/>
      <c r="M11" s="41"/>
      <c r="N11" s="41"/>
      <c r="O11" s="41"/>
      <c r="P11" s="44"/>
      <c r="Q11" s="45"/>
      <c r="R11" s="45"/>
      <c r="S11" s="45"/>
      <c r="T11" s="46"/>
      <c r="U11" s="40"/>
      <c r="V11" s="41"/>
      <c r="W11" s="41"/>
      <c r="X11" s="46"/>
      <c r="Y11" s="45">
        <f>Tabela3[CONTAGEM]</f>
        <v>1</v>
      </c>
    </row>
    <row r="12" spans="1:27" ht="65.099999999999994" customHeight="1" x14ac:dyDescent="0.6">
      <c r="A12" s="40"/>
      <c r="B12" s="40"/>
      <c r="C12" s="40"/>
      <c r="D12" s="41"/>
      <c r="E12" s="42"/>
      <c r="F12" s="43"/>
      <c r="G12" s="42"/>
      <c r="H12" s="42"/>
      <c r="I12" s="42"/>
      <c r="J12" s="41"/>
      <c r="K12" s="41"/>
      <c r="L12" s="41"/>
      <c r="M12" s="41"/>
      <c r="N12" s="41"/>
      <c r="O12" s="41"/>
      <c r="P12" s="44"/>
      <c r="Q12" s="45"/>
      <c r="R12" s="45"/>
      <c r="S12" s="45"/>
      <c r="T12" s="46"/>
      <c r="U12" s="40"/>
      <c r="V12" s="41"/>
      <c r="W12" s="41"/>
      <c r="X12" s="46"/>
      <c r="Y12" s="45">
        <f>Tabela3[CONTAGEM]</f>
        <v>1</v>
      </c>
    </row>
    <row r="13" spans="1:27" ht="65.099999999999994" customHeight="1" x14ac:dyDescent="0.6">
      <c r="A13" s="40"/>
      <c r="B13" s="40"/>
      <c r="C13" s="40"/>
      <c r="D13" s="41"/>
      <c r="E13" s="42"/>
      <c r="F13" s="43"/>
      <c r="G13" s="42"/>
      <c r="H13" s="42"/>
      <c r="I13" s="42"/>
      <c r="J13" s="41"/>
      <c r="K13" s="41"/>
      <c r="L13" s="41"/>
      <c r="M13" s="41"/>
      <c r="N13" s="41"/>
      <c r="O13" s="41"/>
      <c r="P13" s="44"/>
      <c r="Q13" s="45"/>
      <c r="R13" s="45"/>
      <c r="S13" s="45"/>
      <c r="T13" s="46"/>
      <c r="U13" s="40"/>
      <c r="V13" s="41"/>
      <c r="W13" s="41"/>
      <c r="X13" s="46"/>
      <c r="Y13" s="45">
        <f>Tabela3[CONTAGEM]</f>
        <v>1</v>
      </c>
    </row>
    <row r="14" spans="1:27" ht="65.099999999999994" customHeight="1" x14ac:dyDescent="0.6">
      <c r="A14" s="40"/>
      <c r="B14" s="40"/>
      <c r="C14" s="40"/>
      <c r="D14" s="41"/>
      <c r="E14" s="42"/>
      <c r="F14" s="43"/>
      <c r="G14" s="42"/>
      <c r="H14" s="42"/>
      <c r="I14" s="42"/>
      <c r="J14" s="41"/>
      <c r="K14" s="41"/>
      <c r="L14" s="41"/>
      <c r="M14" s="41"/>
      <c r="N14" s="41"/>
      <c r="O14" s="41"/>
      <c r="P14" s="44"/>
      <c r="Q14" s="45"/>
      <c r="R14" s="45"/>
      <c r="S14" s="45"/>
      <c r="T14" s="46"/>
      <c r="U14" s="40"/>
      <c r="V14" s="41"/>
      <c r="W14" s="41"/>
      <c r="X14" s="46"/>
      <c r="Y14" s="45">
        <f>Tabela3[CONTAGEM]</f>
        <v>1</v>
      </c>
    </row>
    <row r="15" spans="1:27" ht="65.099999999999994" customHeight="1" x14ac:dyDescent="0.6">
      <c r="A15" s="40"/>
      <c r="B15" s="40"/>
      <c r="C15" s="40"/>
      <c r="D15" s="41"/>
      <c r="E15" s="42"/>
      <c r="F15" s="43"/>
      <c r="G15" s="42"/>
      <c r="H15" s="42"/>
      <c r="I15" s="42"/>
      <c r="J15" s="41"/>
      <c r="K15" s="41"/>
      <c r="L15" s="41"/>
      <c r="M15" s="41"/>
      <c r="N15" s="41"/>
      <c r="O15" s="41"/>
      <c r="P15" s="44"/>
      <c r="Q15" s="45"/>
      <c r="R15" s="45"/>
      <c r="S15" s="45"/>
      <c r="T15" s="46"/>
      <c r="U15" s="40"/>
      <c r="V15" s="41"/>
      <c r="W15" s="41"/>
      <c r="X15" s="46"/>
      <c r="Y15" s="45">
        <f>Tabela3[CONTAGEM]</f>
        <v>1</v>
      </c>
    </row>
    <row r="16" spans="1:27" ht="65.099999999999994" customHeight="1" x14ac:dyDescent="0.6">
      <c r="A16" s="40"/>
      <c r="B16" s="40"/>
      <c r="C16" s="40"/>
      <c r="D16" s="41"/>
      <c r="E16" s="42"/>
      <c r="F16" s="43"/>
      <c r="G16" s="42"/>
      <c r="H16" s="42"/>
      <c r="I16" s="42"/>
      <c r="J16" s="41"/>
      <c r="K16" s="41"/>
      <c r="L16" s="41"/>
      <c r="M16" s="41"/>
      <c r="N16" s="41"/>
      <c r="O16" s="41"/>
      <c r="P16" s="44"/>
      <c r="Q16" s="45"/>
      <c r="R16" s="45"/>
      <c r="S16" s="45"/>
      <c r="T16" s="46"/>
      <c r="U16" s="40"/>
      <c r="V16" s="41"/>
      <c r="W16" s="41"/>
      <c r="X16" s="46"/>
      <c r="Y16" s="45">
        <f>Tabela3[CONTAGEM]</f>
        <v>1</v>
      </c>
    </row>
    <row r="17" spans="1:25" ht="65.099999999999994" customHeight="1" x14ac:dyDescent="0.6">
      <c r="A17" s="40"/>
      <c r="B17" s="40"/>
      <c r="C17" s="40"/>
      <c r="D17" s="41"/>
      <c r="E17" s="42"/>
      <c r="F17" s="43"/>
      <c r="G17" s="42"/>
      <c r="H17" s="42"/>
      <c r="I17" s="42"/>
      <c r="J17" s="41"/>
      <c r="K17" s="41"/>
      <c r="L17" s="41"/>
      <c r="M17" s="41"/>
      <c r="N17" s="41"/>
      <c r="O17" s="41"/>
      <c r="P17" s="44"/>
      <c r="Q17" s="45"/>
      <c r="R17" s="45"/>
      <c r="S17" s="45"/>
      <c r="T17" s="46"/>
      <c r="U17" s="40"/>
      <c r="V17" s="41"/>
      <c r="W17" s="41"/>
      <c r="X17" s="46"/>
      <c r="Y17" s="45">
        <f>Tabela3[CONTAGEM]</f>
        <v>1</v>
      </c>
    </row>
    <row r="18" spans="1:25" ht="65.099999999999994" customHeight="1" x14ac:dyDescent="0.6">
      <c r="A18" s="40"/>
      <c r="B18" s="40"/>
      <c r="C18" s="40"/>
      <c r="D18" s="41"/>
      <c r="E18" s="42"/>
      <c r="F18" s="43"/>
      <c r="G18" s="42"/>
      <c r="H18" s="42"/>
      <c r="I18" s="42"/>
      <c r="J18" s="41"/>
      <c r="K18" s="41"/>
      <c r="L18" s="41"/>
      <c r="M18" s="41"/>
      <c r="N18" s="41"/>
      <c r="O18" s="41"/>
      <c r="P18" s="44"/>
      <c r="Q18" s="45"/>
      <c r="R18" s="45"/>
      <c r="S18" s="45"/>
      <c r="T18" s="46"/>
      <c r="U18" s="40"/>
      <c r="V18" s="41"/>
      <c r="W18" s="41"/>
      <c r="X18" s="46"/>
      <c r="Y18" s="45">
        <f>Tabela3[CONTAGEM]</f>
        <v>1</v>
      </c>
    </row>
    <row r="19" spans="1:25" ht="65.099999999999994" customHeight="1" x14ac:dyDescent="0.6">
      <c r="A19" s="40"/>
      <c r="B19" s="40"/>
      <c r="C19" s="40"/>
      <c r="D19" s="41"/>
      <c r="E19" s="42"/>
      <c r="F19" s="43"/>
      <c r="G19" s="42"/>
      <c r="H19" s="42"/>
      <c r="I19" s="42"/>
      <c r="J19" s="41"/>
      <c r="K19" s="41"/>
      <c r="L19" s="41"/>
      <c r="M19" s="41"/>
      <c r="N19" s="41"/>
      <c r="O19" s="41"/>
      <c r="P19" s="44"/>
      <c r="Q19" s="45"/>
      <c r="R19" s="45"/>
      <c r="S19" s="45"/>
      <c r="T19" s="46"/>
      <c r="U19" s="40"/>
      <c r="V19" s="41"/>
      <c r="W19" s="41"/>
      <c r="X19" s="46"/>
      <c r="Y19" s="45">
        <f>Tabela3[CONTAGEM]</f>
        <v>1</v>
      </c>
    </row>
    <row r="20" spans="1:25" ht="65.099999999999994" customHeight="1" x14ac:dyDescent="0.6">
      <c r="A20" s="40"/>
      <c r="B20" s="40"/>
      <c r="C20" s="40"/>
      <c r="D20" s="41"/>
      <c r="E20" s="42"/>
      <c r="F20" s="43"/>
      <c r="G20" s="42"/>
      <c r="H20" s="42"/>
      <c r="I20" s="42"/>
      <c r="J20" s="41"/>
      <c r="K20" s="41"/>
      <c r="L20" s="41"/>
      <c r="M20" s="41"/>
      <c r="N20" s="41"/>
      <c r="O20" s="41"/>
      <c r="P20" s="44"/>
      <c r="Q20" s="45"/>
      <c r="R20" s="45"/>
      <c r="S20" s="45"/>
      <c r="T20" s="46"/>
      <c r="U20" s="40"/>
      <c r="V20" s="41"/>
      <c r="W20" s="41"/>
      <c r="X20" s="46"/>
      <c r="Y20" s="45">
        <f>Tabela3[CONTAGEM]</f>
        <v>1</v>
      </c>
    </row>
    <row r="21" spans="1:25" ht="65.099999999999994" customHeight="1" x14ac:dyDescent="0.6">
      <c r="A21" s="40"/>
      <c r="B21" s="40"/>
      <c r="C21" s="40"/>
      <c r="D21" s="41"/>
      <c r="E21" s="42"/>
      <c r="F21" s="43"/>
      <c r="G21" s="42"/>
      <c r="H21" s="42"/>
      <c r="I21" s="42"/>
      <c r="J21" s="41"/>
      <c r="K21" s="41"/>
      <c r="L21" s="41"/>
      <c r="M21" s="41"/>
      <c r="N21" s="41"/>
      <c r="O21" s="41"/>
      <c r="P21" s="44"/>
      <c r="Q21" s="45"/>
      <c r="R21" s="45"/>
      <c r="S21" s="45"/>
      <c r="T21" s="46"/>
      <c r="U21" s="40"/>
      <c r="V21" s="41"/>
      <c r="W21" s="41"/>
      <c r="X21" s="46"/>
      <c r="Y21" s="45">
        <f>Tabela3[CONTAGEM]</f>
        <v>1</v>
      </c>
    </row>
    <row r="22" spans="1:25" ht="65.099999999999994" customHeight="1" x14ac:dyDescent="0.6">
      <c r="A22" s="40"/>
      <c r="B22" s="40"/>
      <c r="C22" s="40"/>
      <c r="D22" s="41"/>
      <c r="E22" s="42"/>
      <c r="F22" s="43"/>
      <c r="G22" s="42"/>
      <c r="H22" s="42"/>
      <c r="I22" s="42"/>
      <c r="J22" s="41"/>
      <c r="K22" s="41"/>
      <c r="L22" s="41"/>
      <c r="M22" s="41"/>
      <c r="N22" s="41"/>
      <c r="O22" s="41"/>
      <c r="P22" s="44"/>
      <c r="Q22" s="45"/>
      <c r="R22" s="45"/>
      <c r="S22" s="45"/>
      <c r="T22" s="46"/>
      <c r="U22" s="40"/>
      <c r="V22" s="41"/>
      <c r="W22" s="41"/>
      <c r="X22" s="46"/>
      <c r="Y22" s="45">
        <f>Tabela3[CONTAGEM]</f>
        <v>1</v>
      </c>
    </row>
    <row r="23" spans="1:25" ht="65.099999999999994" customHeight="1" x14ac:dyDescent="0.6">
      <c r="A23" s="40"/>
      <c r="B23" s="40"/>
      <c r="C23" s="40"/>
      <c r="D23" s="41"/>
      <c r="E23" s="42"/>
      <c r="F23" s="43"/>
      <c r="G23" s="42"/>
      <c r="H23" s="42"/>
      <c r="I23" s="42"/>
      <c r="J23" s="41"/>
      <c r="K23" s="41"/>
      <c r="L23" s="41"/>
      <c r="M23" s="41"/>
      <c r="N23" s="41"/>
      <c r="O23" s="41"/>
      <c r="P23" s="44"/>
      <c r="Q23" s="45"/>
      <c r="R23" s="45"/>
      <c r="S23" s="45"/>
      <c r="T23" s="46"/>
      <c r="U23" s="40"/>
      <c r="V23" s="41"/>
      <c r="W23" s="41"/>
      <c r="X23" s="46"/>
      <c r="Y23" s="45">
        <f>Tabela3[CONTAGEM]</f>
        <v>1</v>
      </c>
    </row>
    <row r="24" spans="1:25" ht="65.099999999999994" customHeight="1" x14ac:dyDescent="0.6">
      <c r="A24" s="40"/>
      <c r="B24" s="40"/>
      <c r="C24" s="40"/>
      <c r="D24" s="41"/>
      <c r="E24" s="42"/>
      <c r="F24" s="43"/>
      <c r="G24" s="42"/>
      <c r="H24" s="42"/>
      <c r="I24" s="42"/>
      <c r="J24" s="41"/>
      <c r="K24" s="41"/>
      <c r="L24" s="41"/>
      <c r="M24" s="41"/>
      <c r="N24" s="41"/>
      <c r="O24" s="41"/>
      <c r="P24" s="44"/>
      <c r="Q24" s="45"/>
      <c r="R24" s="45"/>
      <c r="S24" s="45"/>
      <c r="T24" s="46"/>
      <c r="U24" s="40"/>
      <c r="V24" s="41"/>
      <c r="W24" s="41"/>
      <c r="X24" s="46"/>
      <c r="Y24" s="45">
        <f>Tabela3[CONTAGEM]</f>
        <v>1</v>
      </c>
    </row>
    <row r="25" spans="1:25" ht="65.099999999999994" customHeight="1" x14ac:dyDescent="0.6">
      <c r="A25" s="40"/>
      <c r="B25" s="40"/>
      <c r="C25" s="40"/>
      <c r="D25" s="41"/>
      <c r="E25" s="42"/>
      <c r="F25" s="43"/>
      <c r="G25" s="42"/>
      <c r="H25" s="42"/>
      <c r="I25" s="42"/>
      <c r="J25" s="41"/>
      <c r="K25" s="41"/>
      <c r="L25" s="41"/>
      <c r="M25" s="41"/>
      <c r="N25" s="41"/>
      <c r="O25" s="41"/>
      <c r="P25" s="44"/>
      <c r="Q25" s="45"/>
      <c r="R25" s="45"/>
      <c r="S25" s="45"/>
      <c r="T25" s="46"/>
      <c r="U25" s="40"/>
      <c r="V25" s="41"/>
      <c r="W25" s="41"/>
      <c r="X25" s="46"/>
      <c r="Y25" s="45">
        <f>Tabela3[CONTAGEM]</f>
        <v>1</v>
      </c>
    </row>
    <row r="26" spans="1:25" ht="65.099999999999994" customHeight="1" x14ac:dyDescent="0.6">
      <c r="A26" s="40"/>
      <c r="B26" s="40"/>
      <c r="C26" s="40"/>
      <c r="D26" s="41"/>
      <c r="E26" s="42"/>
      <c r="F26" s="43"/>
      <c r="G26" s="42"/>
      <c r="H26" s="42"/>
      <c r="I26" s="42"/>
      <c r="J26" s="41"/>
      <c r="K26" s="41"/>
      <c r="L26" s="41"/>
      <c r="M26" s="41"/>
      <c r="N26" s="41"/>
      <c r="O26" s="41"/>
      <c r="P26" s="44"/>
      <c r="Q26" s="45"/>
      <c r="R26" s="45"/>
      <c r="S26" s="45"/>
      <c r="T26" s="46"/>
      <c r="U26" s="40"/>
      <c r="V26" s="41"/>
      <c r="W26" s="41"/>
      <c r="X26" s="46"/>
      <c r="Y26" s="45">
        <f>Tabela3[CONTAGEM]</f>
        <v>1</v>
      </c>
    </row>
    <row r="27" spans="1:25" ht="65.099999999999994" customHeight="1" x14ac:dyDescent="0.6">
      <c r="A27" s="40"/>
      <c r="B27" s="40"/>
      <c r="C27" s="40"/>
      <c r="D27" s="41"/>
      <c r="E27" s="42"/>
      <c r="F27" s="43"/>
      <c r="G27" s="42"/>
      <c r="H27" s="42"/>
      <c r="I27" s="42"/>
      <c r="J27" s="41"/>
      <c r="K27" s="41"/>
      <c r="L27" s="41"/>
      <c r="M27" s="41"/>
      <c r="N27" s="41"/>
      <c r="O27" s="41"/>
      <c r="P27" s="44"/>
      <c r="Q27" s="45"/>
      <c r="R27" s="45"/>
      <c r="S27" s="45"/>
      <c r="T27" s="46"/>
      <c r="U27" s="40"/>
      <c r="V27" s="41"/>
      <c r="W27" s="41"/>
      <c r="X27" s="46"/>
      <c r="Y27" s="45">
        <f>Tabela3[CONTAGEM]</f>
        <v>1</v>
      </c>
    </row>
    <row r="28" spans="1:25" ht="65.099999999999994" customHeight="1" x14ac:dyDescent="0.6">
      <c r="A28" s="40"/>
      <c r="B28" s="40"/>
      <c r="C28" s="40"/>
      <c r="D28" s="41"/>
      <c r="E28" s="42"/>
      <c r="F28" s="43"/>
      <c r="G28" s="42"/>
      <c r="H28" s="42"/>
      <c r="I28" s="42"/>
      <c r="J28" s="41"/>
      <c r="K28" s="41"/>
      <c r="L28" s="41"/>
      <c r="M28" s="41"/>
      <c r="N28" s="41"/>
      <c r="O28" s="41"/>
      <c r="P28" s="44"/>
      <c r="Q28" s="45"/>
      <c r="R28" s="45"/>
      <c r="S28" s="45"/>
      <c r="T28" s="46"/>
      <c r="U28" s="40"/>
      <c r="V28" s="41"/>
      <c r="W28" s="41"/>
      <c r="X28" s="46"/>
      <c r="Y28" s="45">
        <f>Tabela3[CONTAGEM]</f>
        <v>1</v>
      </c>
    </row>
    <row r="29" spans="1:25" ht="65.099999999999994" customHeight="1" x14ac:dyDescent="0.6">
      <c r="A29" s="40"/>
      <c r="B29" s="40"/>
      <c r="C29" s="40"/>
      <c r="D29" s="41"/>
      <c r="E29" s="42"/>
      <c r="F29" s="43"/>
      <c r="G29" s="42"/>
      <c r="H29" s="42"/>
      <c r="I29" s="42"/>
      <c r="J29" s="41"/>
      <c r="K29" s="41"/>
      <c r="L29" s="41"/>
      <c r="M29" s="41"/>
      <c r="N29" s="41"/>
      <c r="O29" s="41"/>
      <c r="P29" s="44"/>
      <c r="Q29" s="45"/>
      <c r="R29" s="45"/>
      <c r="S29" s="45"/>
      <c r="T29" s="46"/>
      <c r="U29" s="40"/>
      <c r="V29" s="41"/>
      <c r="W29" s="41"/>
      <c r="X29" s="46"/>
      <c r="Y29" s="45">
        <f>Tabela3[CONTAGEM]</f>
        <v>1</v>
      </c>
    </row>
    <row r="30" spans="1:25" ht="65.099999999999994" customHeight="1" x14ac:dyDescent="0.6">
      <c r="A30" s="40"/>
      <c r="B30" s="40"/>
      <c r="C30" s="40"/>
      <c r="D30" s="41"/>
      <c r="E30" s="42"/>
      <c r="F30" s="43"/>
      <c r="G30" s="42"/>
      <c r="H30" s="42"/>
      <c r="I30" s="42"/>
      <c r="J30" s="41"/>
      <c r="K30" s="41"/>
      <c r="L30" s="41"/>
      <c r="M30" s="41"/>
      <c r="N30" s="41"/>
      <c r="O30" s="41"/>
      <c r="P30" s="44"/>
      <c r="Q30" s="45"/>
      <c r="R30" s="45"/>
      <c r="S30" s="45"/>
      <c r="T30" s="46"/>
      <c r="U30" s="40"/>
      <c r="V30" s="41"/>
      <c r="W30" s="41"/>
      <c r="X30" s="46"/>
      <c r="Y30" s="45">
        <f>Tabela3[CONTAGEM]</f>
        <v>1</v>
      </c>
    </row>
    <row r="31" spans="1:25" ht="65.099999999999994" customHeight="1" x14ac:dyDescent="0.6">
      <c r="A31" s="40"/>
      <c r="B31" s="40"/>
      <c r="C31" s="40"/>
      <c r="D31" s="41"/>
      <c r="E31" s="42"/>
      <c r="F31" s="43"/>
      <c r="G31" s="42"/>
      <c r="H31" s="42"/>
      <c r="I31" s="42"/>
      <c r="J31" s="41"/>
      <c r="K31" s="41"/>
      <c r="L31" s="41"/>
      <c r="M31" s="41"/>
      <c r="N31" s="41"/>
      <c r="O31" s="41"/>
      <c r="P31" s="44"/>
      <c r="Q31" s="45"/>
      <c r="R31" s="45"/>
      <c r="S31" s="45"/>
      <c r="T31" s="46"/>
      <c r="U31" s="40"/>
      <c r="V31" s="41"/>
      <c r="W31" s="41"/>
      <c r="X31" s="46"/>
      <c r="Y31" s="45">
        <f>Tabela3[CONTAGEM]</f>
        <v>1</v>
      </c>
    </row>
    <row r="32" spans="1:25" ht="65.099999999999994" customHeight="1" x14ac:dyDescent="0.6">
      <c r="A32" s="40"/>
      <c r="B32" s="40"/>
      <c r="C32" s="40"/>
      <c r="D32" s="41"/>
      <c r="E32" s="42"/>
      <c r="F32" s="43"/>
      <c r="G32" s="42"/>
      <c r="H32" s="42"/>
      <c r="I32" s="42"/>
      <c r="J32" s="41"/>
      <c r="K32" s="41"/>
      <c r="L32" s="41"/>
      <c r="M32" s="41"/>
      <c r="N32" s="41"/>
      <c r="O32" s="41"/>
      <c r="P32" s="44"/>
      <c r="Q32" s="45"/>
      <c r="R32" s="45"/>
      <c r="S32" s="45"/>
      <c r="T32" s="46"/>
      <c r="U32" s="40"/>
      <c r="V32" s="41"/>
      <c r="W32" s="41"/>
      <c r="X32" s="46"/>
      <c r="Y32" s="45">
        <f>Tabela3[CONTAGEM]</f>
        <v>1</v>
      </c>
    </row>
    <row r="33" spans="1:25" ht="65.099999999999994" customHeight="1" x14ac:dyDescent="0.6">
      <c r="A33" s="40"/>
      <c r="B33" s="40"/>
      <c r="C33" s="40"/>
      <c r="D33" s="41"/>
      <c r="E33" s="42"/>
      <c r="F33" s="43"/>
      <c r="G33" s="42"/>
      <c r="H33" s="42"/>
      <c r="I33" s="42"/>
      <c r="J33" s="41"/>
      <c r="K33" s="41"/>
      <c r="L33" s="41"/>
      <c r="M33" s="41"/>
      <c r="N33" s="41"/>
      <c r="O33" s="41"/>
      <c r="P33" s="44"/>
      <c r="Q33" s="45"/>
      <c r="R33" s="45"/>
      <c r="S33" s="45"/>
      <c r="T33" s="46"/>
      <c r="U33" s="40"/>
      <c r="V33" s="41"/>
      <c r="W33" s="41"/>
      <c r="X33" s="46"/>
      <c r="Y33" s="45">
        <f>Tabela3[CONTAGEM]</f>
        <v>1</v>
      </c>
    </row>
    <row r="34" spans="1:25" ht="65.099999999999994" customHeight="1" x14ac:dyDescent="0.6">
      <c r="A34" s="40"/>
      <c r="B34" s="40"/>
      <c r="C34" s="40"/>
      <c r="D34" s="41"/>
      <c r="E34" s="42"/>
      <c r="F34" s="43"/>
      <c r="G34" s="42"/>
      <c r="H34" s="42"/>
      <c r="I34" s="42"/>
      <c r="J34" s="41"/>
      <c r="K34" s="41"/>
      <c r="L34" s="41"/>
      <c r="M34" s="41"/>
      <c r="N34" s="41"/>
      <c r="O34" s="41"/>
      <c r="P34" s="44"/>
      <c r="Q34" s="45"/>
      <c r="R34" s="45"/>
      <c r="S34" s="45"/>
      <c r="T34" s="46"/>
      <c r="U34" s="40"/>
      <c r="V34" s="41"/>
      <c r="W34" s="41"/>
      <c r="X34" s="46"/>
      <c r="Y34" s="45">
        <f>Tabela3[CONTAGEM]</f>
        <v>1</v>
      </c>
    </row>
    <row r="35" spans="1:25" ht="65.099999999999994" customHeight="1" x14ac:dyDescent="0.6">
      <c r="A35" s="40"/>
      <c r="B35" s="40"/>
      <c r="C35" s="40"/>
      <c r="D35" s="41"/>
      <c r="E35" s="42"/>
      <c r="F35" s="43"/>
      <c r="G35" s="42"/>
      <c r="H35" s="42"/>
      <c r="I35" s="42"/>
      <c r="J35" s="41"/>
      <c r="K35" s="41"/>
      <c r="L35" s="41"/>
      <c r="M35" s="41"/>
      <c r="N35" s="41"/>
      <c r="O35" s="41"/>
      <c r="P35" s="44"/>
      <c r="Q35" s="45"/>
      <c r="R35" s="45"/>
      <c r="S35" s="45"/>
      <c r="T35" s="46"/>
      <c r="U35" s="40"/>
      <c r="V35" s="41"/>
      <c r="W35" s="41"/>
      <c r="X35" s="46"/>
      <c r="Y35" s="45">
        <f>Tabela3[CONTAGEM]</f>
        <v>1</v>
      </c>
    </row>
    <row r="36" spans="1:25" ht="65.099999999999994" customHeight="1" x14ac:dyDescent="0.6">
      <c r="A36" s="40"/>
      <c r="B36" s="40"/>
      <c r="C36" s="40"/>
      <c r="D36" s="41"/>
      <c r="E36" s="42"/>
      <c r="F36" s="43"/>
      <c r="G36" s="42"/>
      <c r="H36" s="42"/>
      <c r="I36" s="42"/>
      <c r="J36" s="41"/>
      <c r="K36" s="41"/>
      <c r="L36" s="41"/>
      <c r="M36" s="41"/>
      <c r="N36" s="41"/>
      <c r="O36" s="41"/>
      <c r="P36" s="44"/>
      <c r="Q36" s="45"/>
      <c r="R36" s="45"/>
      <c r="S36" s="45"/>
      <c r="T36" s="46"/>
      <c r="U36" s="40"/>
      <c r="V36" s="41"/>
      <c r="W36" s="41"/>
      <c r="X36" s="46"/>
      <c r="Y36" s="45">
        <f>Tabela3[CONTAGEM]</f>
        <v>1</v>
      </c>
    </row>
    <row r="37" spans="1:25" ht="65.099999999999994" customHeight="1" x14ac:dyDescent="0.6">
      <c r="A37" s="40"/>
      <c r="B37" s="40"/>
      <c r="C37" s="40"/>
      <c r="D37" s="41"/>
      <c r="E37" s="42"/>
      <c r="F37" s="43"/>
      <c r="G37" s="42"/>
      <c r="H37" s="42"/>
      <c r="I37" s="42"/>
      <c r="J37" s="41"/>
      <c r="K37" s="41"/>
      <c r="L37" s="41"/>
      <c r="M37" s="41"/>
      <c r="N37" s="41"/>
      <c r="O37" s="41"/>
      <c r="P37" s="44"/>
      <c r="Q37" s="45"/>
      <c r="R37" s="45"/>
      <c r="S37" s="45"/>
      <c r="T37" s="46"/>
      <c r="U37" s="40"/>
      <c r="V37" s="41"/>
      <c r="W37" s="41"/>
      <c r="X37" s="46"/>
      <c r="Y37" s="45">
        <f>Tabela3[CONTAGEM]</f>
        <v>1</v>
      </c>
    </row>
    <row r="38" spans="1:25" ht="65.099999999999994" customHeight="1" x14ac:dyDescent="0.6">
      <c r="A38" s="40"/>
      <c r="B38" s="40"/>
      <c r="C38" s="40"/>
      <c r="D38" s="41"/>
      <c r="E38" s="42"/>
      <c r="F38" s="43"/>
      <c r="G38" s="42"/>
      <c r="H38" s="42"/>
      <c r="I38" s="42"/>
      <c r="J38" s="41"/>
      <c r="K38" s="41"/>
      <c r="L38" s="41"/>
      <c r="M38" s="41"/>
      <c r="N38" s="41"/>
      <c r="O38" s="41"/>
      <c r="P38" s="44"/>
      <c r="Q38" s="45"/>
      <c r="R38" s="45"/>
      <c r="S38" s="45"/>
      <c r="T38" s="46"/>
      <c r="U38" s="40"/>
      <c r="V38" s="41"/>
      <c r="W38" s="41"/>
      <c r="X38" s="46"/>
      <c r="Y38" s="45">
        <f>Tabela3[CONTAGEM]</f>
        <v>1</v>
      </c>
    </row>
    <row r="39" spans="1:25" ht="65.099999999999994" customHeight="1" x14ac:dyDescent="0.6">
      <c r="A39" s="40"/>
      <c r="B39" s="40"/>
      <c r="C39" s="40"/>
      <c r="D39" s="41"/>
      <c r="E39" s="42"/>
      <c r="F39" s="43"/>
      <c r="G39" s="42"/>
      <c r="H39" s="42"/>
      <c r="I39" s="42"/>
      <c r="J39" s="41"/>
      <c r="K39" s="41"/>
      <c r="L39" s="41"/>
      <c r="M39" s="41"/>
      <c r="N39" s="41"/>
      <c r="O39" s="41"/>
      <c r="P39" s="44"/>
      <c r="Q39" s="45"/>
      <c r="R39" s="45"/>
      <c r="S39" s="45"/>
      <c r="T39" s="46"/>
      <c r="U39" s="40"/>
      <c r="V39" s="41"/>
      <c r="W39" s="41"/>
      <c r="X39" s="46"/>
      <c r="Y39" s="45">
        <f>Tabela3[CONTAGEM]</f>
        <v>1</v>
      </c>
    </row>
    <row r="40" spans="1:25" ht="65.099999999999994" customHeight="1" x14ac:dyDescent="0.6">
      <c r="A40" s="40"/>
      <c r="B40" s="40"/>
      <c r="C40" s="40"/>
      <c r="D40" s="41"/>
      <c r="E40" s="42"/>
      <c r="F40" s="43"/>
      <c r="G40" s="42"/>
      <c r="H40" s="42"/>
      <c r="I40" s="42"/>
      <c r="J40" s="41"/>
      <c r="K40" s="41"/>
      <c r="L40" s="41"/>
      <c r="M40" s="41"/>
      <c r="N40" s="41"/>
      <c r="O40" s="41"/>
      <c r="P40" s="44"/>
      <c r="Q40" s="45"/>
      <c r="R40" s="45"/>
      <c r="S40" s="45"/>
      <c r="T40" s="46"/>
      <c r="U40" s="40"/>
      <c r="V40" s="41"/>
      <c r="W40" s="41"/>
      <c r="X40" s="46"/>
      <c r="Y40" s="45">
        <f>Tabela3[CONTAGEM]</f>
        <v>1</v>
      </c>
    </row>
    <row r="41" spans="1:25" ht="65.099999999999994" customHeight="1" x14ac:dyDescent="0.6">
      <c r="A41" s="40"/>
      <c r="B41" s="40"/>
      <c r="C41" s="40"/>
      <c r="D41" s="41"/>
      <c r="E41" s="42"/>
      <c r="F41" s="43"/>
      <c r="G41" s="42"/>
      <c r="H41" s="42"/>
      <c r="I41" s="42"/>
      <c r="J41" s="41"/>
      <c r="K41" s="41"/>
      <c r="L41" s="41"/>
      <c r="M41" s="41"/>
      <c r="N41" s="41"/>
      <c r="O41" s="41"/>
      <c r="P41" s="44"/>
      <c r="Q41" s="45"/>
      <c r="R41" s="45"/>
      <c r="S41" s="45"/>
      <c r="T41" s="46"/>
      <c r="U41" s="40"/>
      <c r="V41" s="41"/>
      <c r="W41" s="41"/>
      <c r="X41" s="46"/>
      <c r="Y41" s="45">
        <f>Tabela3[CONTAGEM]</f>
        <v>1</v>
      </c>
    </row>
    <row r="42" spans="1:25" ht="65.099999999999994" customHeight="1" x14ac:dyDescent="0.6">
      <c r="A42" s="40"/>
      <c r="B42" s="40"/>
      <c r="C42" s="40"/>
      <c r="D42" s="41"/>
      <c r="E42" s="42"/>
      <c r="F42" s="43"/>
      <c r="G42" s="42"/>
      <c r="H42" s="42"/>
      <c r="I42" s="42"/>
      <c r="J42" s="41"/>
      <c r="K42" s="41"/>
      <c r="L42" s="41"/>
      <c r="M42" s="41"/>
      <c r="N42" s="41"/>
      <c r="O42" s="41"/>
      <c r="P42" s="44"/>
      <c r="Q42" s="45"/>
      <c r="R42" s="45"/>
      <c r="S42" s="45"/>
      <c r="T42" s="46"/>
      <c r="U42" s="40"/>
      <c r="V42" s="41"/>
      <c r="W42" s="41"/>
      <c r="X42" s="46"/>
      <c r="Y42" s="45">
        <f>Tabela3[CONTAGEM]</f>
        <v>1</v>
      </c>
    </row>
    <row r="43" spans="1:25" ht="65.099999999999994" customHeight="1" x14ac:dyDescent="0.6">
      <c r="A43" s="40"/>
      <c r="B43" s="40"/>
      <c r="C43" s="40"/>
      <c r="D43" s="41"/>
      <c r="E43" s="42"/>
      <c r="F43" s="43"/>
      <c r="G43" s="42"/>
      <c r="H43" s="42"/>
      <c r="I43" s="42"/>
      <c r="J43" s="41"/>
      <c r="K43" s="41"/>
      <c r="L43" s="41"/>
      <c r="M43" s="41"/>
      <c r="N43" s="41"/>
      <c r="O43" s="41"/>
      <c r="P43" s="44"/>
      <c r="Q43" s="45"/>
      <c r="R43" s="45"/>
      <c r="S43" s="45"/>
      <c r="T43" s="46"/>
      <c r="U43" s="40"/>
      <c r="V43" s="41"/>
      <c r="W43" s="41"/>
      <c r="X43" s="46"/>
      <c r="Y43" s="45">
        <f>Tabela3[CONTAGEM]</f>
        <v>1</v>
      </c>
    </row>
    <row r="44" spans="1:25" ht="65.099999999999994" customHeight="1" x14ac:dyDescent="0.6">
      <c r="A44" s="40"/>
      <c r="B44" s="40"/>
      <c r="C44" s="40"/>
      <c r="D44" s="41"/>
      <c r="E44" s="42"/>
      <c r="F44" s="43"/>
      <c r="G44" s="42"/>
      <c r="H44" s="42"/>
      <c r="I44" s="42"/>
      <c r="J44" s="41"/>
      <c r="K44" s="41"/>
      <c r="L44" s="41"/>
      <c r="M44" s="41"/>
      <c r="N44" s="41"/>
      <c r="O44" s="41"/>
      <c r="P44" s="44"/>
      <c r="Q44" s="45"/>
      <c r="R44" s="45"/>
      <c r="S44" s="45"/>
      <c r="T44" s="46"/>
      <c r="U44" s="40"/>
      <c r="V44" s="41"/>
      <c r="W44" s="41"/>
      <c r="X44" s="46"/>
      <c r="Y44" s="45">
        <f>Tabela3[CONTAGEM]</f>
        <v>1</v>
      </c>
    </row>
    <row r="45" spans="1:25" ht="65.099999999999994" customHeight="1" x14ac:dyDescent="0.6">
      <c r="A45" s="40"/>
      <c r="B45" s="40"/>
      <c r="C45" s="40"/>
      <c r="D45" s="41"/>
      <c r="E45" s="42"/>
      <c r="F45" s="43"/>
      <c r="G45" s="42"/>
      <c r="H45" s="42"/>
      <c r="I45" s="42"/>
      <c r="J45" s="41"/>
      <c r="K45" s="41"/>
      <c r="L45" s="41"/>
      <c r="M45" s="41"/>
      <c r="N45" s="41"/>
      <c r="O45" s="41"/>
      <c r="P45" s="44"/>
      <c r="Q45" s="45"/>
      <c r="R45" s="45"/>
      <c r="S45" s="45"/>
      <c r="T45" s="46"/>
      <c r="U45" s="40"/>
      <c r="V45" s="41"/>
      <c r="W45" s="41"/>
      <c r="X45" s="46"/>
      <c r="Y45" s="45">
        <f>Tabela3[CONTAGEM]</f>
        <v>1</v>
      </c>
    </row>
    <row r="46" spans="1:25" ht="65.099999999999994" customHeight="1" x14ac:dyDescent="0.6">
      <c r="A46" s="40"/>
      <c r="B46" s="40"/>
      <c r="C46" s="40"/>
      <c r="D46" s="41"/>
      <c r="E46" s="42"/>
      <c r="F46" s="43"/>
      <c r="G46" s="42"/>
      <c r="H46" s="42"/>
      <c r="I46" s="42"/>
      <c r="J46" s="41"/>
      <c r="K46" s="41"/>
      <c r="L46" s="41"/>
      <c r="M46" s="41"/>
      <c r="N46" s="41"/>
      <c r="O46" s="41"/>
      <c r="P46" s="44"/>
      <c r="Q46" s="45"/>
      <c r="R46" s="45"/>
      <c r="S46" s="45"/>
      <c r="T46" s="46"/>
      <c r="U46" s="40"/>
      <c r="V46" s="41"/>
      <c r="W46" s="41"/>
      <c r="X46" s="46"/>
      <c r="Y46" s="45">
        <f>Tabela3[CONTAGEM]</f>
        <v>1</v>
      </c>
    </row>
    <row r="47" spans="1:25" ht="65.099999999999994" customHeight="1" x14ac:dyDescent="0.6">
      <c r="A47" s="40"/>
      <c r="B47" s="40"/>
      <c r="C47" s="40"/>
      <c r="D47" s="41"/>
      <c r="E47" s="42"/>
      <c r="F47" s="43"/>
      <c r="G47" s="42"/>
      <c r="H47" s="42"/>
      <c r="I47" s="42"/>
      <c r="J47" s="41"/>
      <c r="K47" s="41"/>
      <c r="L47" s="41"/>
      <c r="M47" s="41"/>
      <c r="N47" s="41"/>
      <c r="O47" s="41"/>
      <c r="P47" s="44"/>
      <c r="Q47" s="45"/>
      <c r="R47" s="45"/>
      <c r="S47" s="45"/>
      <c r="T47" s="46"/>
      <c r="U47" s="40"/>
      <c r="V47" s="41"/>
      <c r="W47" s="41"/>
      <c r="X47" s="46"/>
      <c r="Y47" s="45">
        <f>Tabela3[CONTAGEM]</f>
        <v>1</v>
      </c>
    </row>
    <row r="48" spans="1:25" ht="65.099999999999994" customHeight="1" x14ac:dyDescent="0.6">
      <c r="A48" s="40"/>
      <c r="B48" s="40"/>
      <c r="C48" s="40"/>
      <c r="D48" s="41"/>
      <c r="E48" s="42"/>
      <c r="F48" s="43"/>
      <c r="G48" s="42"/>
      <c r="H48" s="42"/>
      <c r="I48" s="42"/>
      <c r="J48" s="41"/>
      <c r="K48" s="41"/>
      <c r="L48" s="41"/>
      <c r="M48" s="41"/>
      <c r="N48" s="41"/>
      <c r="O48" s="41"/>
      <c r="P48" s="44"/>
      <c r="Q48" s="45"/>
      <c r="R48" s="45"/>
      <c r="S48" s="45"/>
      <c r="T48" s="46"/>
      <c r="U48" s="40"/>
      <c r="V48" s="41"/>
      <c r="W48" s="41"/>
      <c r="X48" s="46"/>
      <c r="Y48" s="45">
        <f>Tabela3[CONTAGEM]</f>
        <v>1</v>
      </c>
    </row>
    <row r="49" spans="1:25" ht="65.099999999999994" customHeight="1" x14ac:dyDescent="0.6">
      <c r="A49" s="40"/>
      <c r="B49" s="40"/>
      <c r="C49" s="40"/>
      <c r="D49" s="41"/>
      <c r="E49" s="42"/>
      <c r="F49" s="43"/>
      <c r="G49" s="42"/>
      <c r="H49" s="42"/>
      <c r="I49" s="42"/>
      <c r="J49" s="41"/>
      <c r="K49" s="41"/>
      <c r="L49" s="41"/>
      <c r="M49" s="41"/>
      <c r="N49" s="41"/>
      <c r="O49" s="41"/>
      <c r="P49" s="44"/>
      <c r="Q49" s="45"/>
      <c r="R49" s="45"/>
      <c r="S49" s="45"/>
      <c r="T49" s="46"/>
      <c r="U49" s="40"/>
      <c r="V49" s="41"/>
      <c r="W49" s="41"/>
      <c r="X49" s="46"/>
      <c r="Y49" s="45">
        <f>Tabela3[CONTAGEM]</f>
        <v>1</v>
      </c>
    </row>
    <row r="50" spans="1:25" ht="65.099999999999994" customHeight="1" x14ac:dyDescent="0.6">
      <c r="A50" s="40"/>
      <c r="B50" s="40"/>
      <c r="C50" s="40"/>
      <c r="D50" s="41"/>
      <c r="E50" s="42"/>
      <c r="F50" s="43"/>
      <c r="G50" s="42"/>
      <c r="H50" s="42"/>
      <c r="I50" s="42"/>
      <c r="J50" s="41"/>
      <c r="K50" s="41"/>
      <c r="L50" s="41"/>
      <c r="M50" s="41"/>
      <c r="N50" s="41"/>
      <c r="O50" s="41"/>
      <c r="P50" s="44"/>
      <c r="Q50" s="45"/>
      <c r="R50" s="45"/>
      <c r="S50" s="45"/>
      <c r="T50" s="46"/>
      <c r="U50" s="40"/>
      <c r="V50" s="41"/>
      <c r="W50" s="41"/>
      <c r="X50" s="46"/>
      <c r="Y50" s="45">
        <f>Tabela3[CONTAGEM]</f>
        <v>1</v>
      </c>
    </row>
    <row r="51" spans="1:25" ht="65.099999999999994" customHeight="1" x14ac:dyDescent="0.6">
      <c r="A51" s="40"/>
      <c r="B51" s="40"/>
      <c r="C51" s="40"/>
      <c r="D51" s="41"/>
      <c r="E51" s="42"/>
      <c r="F51" s="43"/>
      <c r="G51" s="42"/>
      <c r="H51" s="42"/>
      <c r="I51" s="42"/>
      <c r="J51" s="41"/>
      <c r="K51" s="41"/>
      <c r="L51" s="41"/>
      <c r="M51" s="41"/>
      <c r="N51" s="41"/>
      <c r="O51" s="41"/>
      <c r="P51" s="44"/>
      <c r="Q51" s="45"/>
      <c r="R51" s="45"/>
      <c r="S51" s="45"/>
      <c r="T51" s="46"/>
      <c r="U51" s="40"/>
      <c r="V51" s="41"/>
      <c r="W51" s="41"/>
      <c r="X51" s="46"/>
      <c r="Y51" s="45">
        <f>Tabela3[CONTAGEM]</f>
        <v>1</v>
      </c>
    </row>
    <row r="52" spans="1:25" ht="65.099999999999994" customHeight="1" x14ac:dyDescent="0.6">
      <c r="A52" s="40"/>
      <c r="B52" s="40"/>
      <c r="C52" s="40"/>
      <c r="D52" s="41"/>
      <c r="E52" s="42"/>
      <c r="F52" s="43"/>
      <c r="G52" s="42"/>
      <c r="H52" s="42"/>
      <c r="I52" s="42"/>
      <c r="J52" s="41"/>
      <c r="K52" s="41"/>
      <c r="L52" s="41"/>
      <c r="M52" s="41"/>
      <c r="N52" s="41"/>
      <c r="O52" s="41"/>
      <c r="P52" s="44"/>
      <c r="Q52" s="45"/>
      <c r="R52" s="45"/>
      <c r="S52" s="45"/>
      <c r="T52" s="46"/>
      <c r="U52" s="40"/>
      <c r="V52" s="41"/>
      <c r="W52" s="41"/>
      <c r="X52" s="46"/>
      <c r="Y52" s="45">
        <f>Tabela3[CONTAGEM]</f>
        <v>1</v>
      </c>
    </row>
    <row r="53" spans="1:25" ht="65.099999999999994" customHeight="1" x14ac:dyDescent="0.6">
      <c r="A53" s="40"/>
      <c r="B53" s="40"/>
      <c r="C53" s="40"/>
      <c r="D53" s="41"/>
      <c r="E53" s="42"/>
      <c r="F53" s="43"/>
      <c r="G53" s="42"/>
      <c r="H53" s="42"/>
      <c r="I53" s="42"/>
      <c r="J53" s="41"/>
      <c r="K53" s="41"/>
      <c r="L53" s="41"/>
      <c r="M53" s="41"/>
      <c r="N53" s="41"/>
      <c r="O53" s="41"/>
      <c r="P53" s="44"/>
      <c r="Q53" s="45"/>
      <c r="R53" s="45"/>
      <c r="S53" s="45"/>
      <c r="T53" s="46"/>
      <c r="U53" s="40"/>
      <c r="V53" s="41"/>
      <c r="W53" s="41"/>
      <c r="X53" s="46"/>
      <c r="Y53" s="45">
        <f>Tabela3[CONTAGEM]</f>
        <v>1</v>
      </c>
    </row>
    <row r="54" spans="1:25" ht="65.099999999999994" customHeight="1" x14ac:dyDescent="0.6">
      <c r="A54" s="40"/>
      <c r="B54" s="40"/>
      <c r="C54" s="40"/>
      <c r="D54" s="41"/>
      <c r="E54" s="42"/>
      <c r="F54" s="43"/>
      <c r="G54" s="42"/>
      <c r="H54" s="42"/>
      <c r="I54" s="42"/>
      <c r="J54" s="41"/>
      <c r="K54" s="41"/>
      <c r="L54" s="41"/>
      <c r="M54" s="41"/>
      <c r="N54" s="41"/>
      <c r="O54" s="41"/>
      <c r="P54" s="44"/>
      <c r="Q54" s="45"/>
      <c r="R54" s="45"/>
      <c r="S54" s="45"/>
      <c r="T54" s="46"/>
      <c r="U54" s="40"/>
      <c r="V54" s="41"/>
      <c r="W54" s="41"/>
      <c r="X54" s="46"/>
      <c r="Y54" s="45">
        <f>Tabela3[CONTAGEM]</f>
        <v>1</v>
      </c>
    </row>
    <row r="55" spans="1:25" ht="65.099999999999994" customHeight="1" x14ac:dyDescent="0.6">
      <c r="A55" s="40"/>
      <c r="B55" s="40"/>
      <c r="C55" s="40"/>
      <c r="D55" s="41"/>
      <c r="E55" s="42"/>
      <c r="F55" s="43"/>
      <c r="G55" s="42"/>
      <c r="H55" s="42"/>
      <c r="I55" s="42"/>
      <c r="J55" s="41"/>
      <c r="K55" s="41"/>
      <c r="L55" s="41"/>
      <c r="M55" s="41"/>
      <c r="N55" s="41"/>
      <c r="O55" s="41"/>
      <c r="P55" s="44"/>
      <c r="Q55" s="45"/>
      <c r="R55" s="45"/>
      <c r="S55" s="45"/>
      <c r="T55" s="46"/>
      <c r="U55" s="40"/>
      <c r="V55" s="41"/>
      <c r="W55" s="41"/>
      <c r="X55" s="46"/>
      <c r="Y55" s="45">
        <f>Tabela3[CONTAGEM]</f>
        <v>1</v>
      </c>
    </row>
    <row r="56" spans="1:25" ht="65.099999999999994" customHeight="1" x14ac:dyDescent="0.6">
      <c r="A56" s="40"/>
      <c r="B56" s="40"/>
      <c r="C56" s="40"/>
      <c r="D56" s="41"/>
      <c r="E56" s="42"/>
      <c r="F56" s="43"/>
      <c r="G56" s="42"/>
      <c r="H56" s="42"/>
      <c r="I56" s="42"/>
      <c r="J56" s="41"/>
      <c r="K56" s="41"/>
      <c r="L56" s="41"/>
      <c r="M56" s="41"/>
      <c r="N56" s="41"/>
      <c r="O56" s="41"/>
      <c r="P56" s="44"/>
      <c r="Q56" s="45"/>
      <c r="R56" s="45"/>
      <c r="S56" s="45"/>
      <c r="T56" s="46"/>
      <c r="U56" s="40"/>
      <c r="V56" s="41"/>
      <c r="W56" s="41"/>
      <c r="X56" s="46"/>
      <c r="Y56" s="45">
        <f>Tabela3[CONTAGEM]</f>
        <v>1</v>
      </c>
    </row>
    <row r="57" spans="1:25" ht="65.099999999999994" customHeight="1" x14ac:dyDescent="0.6">
      <c r="A57" s="40"/>
      <c r="B57" s="40"/>
      <c r="C57" s="40"/>
      <c r="D57" s="41"/>
      <c r="E57" s="42"/>
      <c r="F57" s="43"/>
      <c r="G57" s="42"/>
      <c r="H57" s="42"/>
      <c r="I57" s="42"/>
      <c r="J57" s="41"/>
      <c r="K57" s="41"/>
      <c r="L57" s="41"/>
      <c r="M57" s="41"/>
      <c r="N57" s="41"/>
      <c r="O57" s="41"/>
      <c r="P57" s="44"/>
      <c r="Q57" s="45"/>
      <c r="R57" s="45"/>
      <c r="S57" s="45"/>
      <c r="T57" s="46"/>
      <c r="U57" s="40"/>
      <c r="V57" s="41"/>
      <c r="W57" s="41"/>
      <c r="X57" s="46"/>
      <c r="Y57" s="45">
        <f>Tabela3[CONTAGEM]</f>
        <v>1</v>
      </c>
    </row>
    <row r="58" spans="1:25" ht="65.099999999999994" customHeight="1" x14ac:dyDescent="0.6">
      <c r="A58" s="40"/>
      <c r="B58" s="40"/>
      <c r="C58" s="40"/>
      <c r="D58" s="41"/>
      <c r="E58" s="42"/>
      <c r="F58" s="43"/>
      <c r="G58" s="42"/>
      <c r="H58" s="42"/>
      <c r="I58" s="42"/>
      <c r="J58" s="41"/>
      <c r="K58" s="41"/>
      <c r="L58" s="41"/>
      <c r="M58" s="41"/>
      <c r="N58" s="41"/>
      <c r="O58" s="41"/>
      <c r="P58" s="44"/>
      <c r="Q58" s="45"/>
      <c r="R58" s="45"/>
      <c r="S58" s="45"/>
      <c r="T58" s="46"/>
      <c r="U58" s="40"/>
      <c r="V58" s="41"/>
      <c r="W58" s="41"/>
      <c r="X58" s="46"/>
      <c r="Y58" s="45">
        <f>Tabela3[CONTAGEM]</f>
        <v>1</v>
      </c>
    </row>
    <row r="59" spans="1:25" ht="65.099999999999994" customHeight="1" x14ac:dyDescent="0.6">
      <c r="A59" s="40"/>
      <c r="B59" s="40"/>
      <c r="C59" s="40"/>
      <c r="D59" s="41"/>
      <c r="E59" s="42"/>
      <c r="F59" s="43"/>
      <c r="G59" s="42"/>
      <c r="H59" s="42"/>
      <c r="I59" s="42"/>
      <c r="J59" s="41"/>
      <c r="K59" s="41"/>
      <c r="L59" s="41"/>
      <c r="M59" s="41"/>
      <c r="N59" s="41"/>
      <c r="O59" s="41"/>
      <c r="P59" s="44"/>
      <c r="Q59" s="45"/>
      <c r="R59" s="47"/>
      <c r="S59" s="45"/>
      <c r="T59" s="46"/>
      <c r="U59" s="40"/>
      <c r="V59" s="41"/>
      <c r="W59" s="41"/>
      <c r="X59" s="46"/>
      <c r="Y59" s="45">
        <f>Tabela3[CONTAGEM]</f>
        <v>1</v>
      </c>
    </row>
    <row r="60" spans="1:25" ht="65.099999999999994" customHeight="1" x14ac:dyDescent="0.6">
      <c r="A60" s="40"/>
      <c r="B60" s="40"/>
      <c r="C60" s="40"/>
      <c r="D60" s="41"/>
      <c r="E60" s="42"/>
      <c r="F60" s="43"/>
      <c r="G60" s="42"/>
      <c r="H60" s="42"/>
      <c r="I60" s="42"/>
      <c r="J60" s="41"/>
      <c r="K60" s="41"/>
      <c r="L60" s="41"/>
      <c r="M60" s="41"/>
      <c r="N60" s="41"/>
      <c r="O60" s="41"/>
      <c r="P60" s="44"/>
      <c r="Q60" s="45"/>
      <c r="R60" s="47"/>
      <c r="S60" s="45"/>
      <c r="T60" s="46"/>
      <c r="U60" s="40"/>
      <c r="V60" s="41"/>
      <c r="W60" s="41"/>
      <c r="X60" s="46"/>
      <c r="Y60" s="45">
        <f>Tabela3[CONTAGEM]</f>
        <v>1</v>
      </c>
    </row>
    <row r="61" spans="1:25" ht="65.099999999999994" customHeight="1" x14ac:dyDescent="0.6">
      <c r="A61" s="40"/>
      <c r="B61" s="40"/>
      <c r="C61" s="40"/>
      <c r="D61" s="41"/>
      <c r="E61" s="42"/>
      <c r="F61" s="43"/>
      <c r="G61" s="42"/>
      <c r="H61" s="42"/>
      <c r="I61" s="42"/>
      <c r="J61" s="41"/>
      <c r="K61" s="41"/>
      <c r="L61" s="41"/>
      <c r="M61" s="41"/>
      <c r="N61" s="41"/>
      <c r="O61" s="41"/>
      <c r="P61" s="44"/>
      <c r="Q61" s="45"/>
      <c r="R61" s="45"/>
      <c r="S61" s="45"/>
      <c r="T61" s="46"/>
      <c r="U61" s="40"/>
      <c r="V61" s="41"/>
      <c r="W61" s="41"/>
      <c r="X61" s="46"/>
      <c r="Y61" s="45">
        <f>Tabela3[CONTAGEM]</f>
        <v>1</v>
      </c>
    </row>
    <row r="62" spans="1:25" ht="65.099999999999994" customHeight="1" x14ac:dyDescent="0.6">
      <c r="A62" s="40"/>
      <c r="B62" s="40"/>
      <c r="C62" s="40"/>
      <c r="D62" s="41"/>
      <c r="E62" s="42"/>
      <c r="F62" s="43"/>
      <c r="G62" s="42"/>
      <c r="H62" s="42"/>
      <c r="I62" s="42"/>
      <c r="J62" s="41"/>
      <c r="K62" s="41"/>
      <c r="L62" s="41"/>
      <c r="M62" s="41"/>
      <c r="N62" s="41"/>
      <c r="O62" s="41"/>
      <c r="P62" s="44"/>
      <c r="Q62" s="45"/>
      <c r="R62" s="47"/>
      <c r="S62" s="45"/>
      <c r="T62" s="46"/>
      <c r="U62" s="40"/>
      <c r="V62" s="41"/>
      <c r="W62" s="41"/>
      <c r="X62" s="46"/>
      <c r="Y62" s="45">
        <f>Tabela3[CONTAGEM]</f>
        <v>1</v>
      </c>
    </row>
    <row r="63" spans="1:25" ht="65.099999999999994" customHeight="1" x14ac:dyDescent="0.6">
      <c r="A63" s="40"/>
      <c r="B63" s="40"/>
      <c r="C63" s="40"/>
      <c r="D63" s="41"/>
      <c r="E63" s="42"/>
      <c r="F63" s="43"/>
      <c r="G63" s="42"/>
      <c r="H63" s="42"/>
      <c r="I63" s="42"/>
      <c r="J63" s="41"/>
      <c r="K63" s="41"/>
      <c r="L63" s="41"/>
      <c r="M63" s="41"/>
      <c r="N63" s="41"/>
      <c r="O63" s="41"/>
      <c r="P63" s="44"/>
      <c r="Q63" s="45"/>
      <c r="R63" s="47"/>
      <c r="S63" s="45"/>
      <c r="T63" s="46"/>
      <c r="U63" s="40"/>
      <c r="V63" s="41"/>
      <c r="W63" s="41"/>
      <c r="X63" s="46"/>
      <c r="Y63" s="45">
        <f>Tabela3[CONTAGEM]</f>
        <v>1</v>
      </c>
    </row>
    <row r="64" spans="1:25" ht="65.099999999999994" customHeight="1" x14ac:dyDescent="0.6">
      <c r="A64" s="40"/>
      <c r="B64" s="40"/>
      <c r="C64" s="40"/>
      <c r="D64" s="41"/>
      <c r="E64" s="42"/>
      <c r="F64" s="43"/>
      <c r="G64" s="42"/>
      <c r="H64" s="42"/>
      <c r="I64" s="42"/>
      <c r="J64" s="41"/>
      <c r="K64" s="41"/>
      <c r="L64" s="41"/>
      <c r="M64" s="41"/>
      <c r="N64" s="41"/>
      <c r="O64" s="41"/>
      <c r="P64" s="44"/>
      <c r="Q64" s="45"/>
      <c r="R64" s="45"/>
      <c r="S64" s="45"/>
      <c r="T64" s="46"/>
      <c r="U64" s="40"/>
      <c r="V64" s="41"/>
      <c r="W64" s="41"/>
      <c r="X64" s="46"/>
      <c r="Y64" s="45">
        <f>Tabela3[CONTAGEM]</f>
        <v>1</v>
      </c>
    </row>
    <row r="65" spans="1:25" ht="65.099999999999994" customHeight="1" x14ac:dyDescent="0.6">
      <c r="A65" s="40"/>
      <c r="B65" s="40"/>
      <c r="C65" s="40"/>
      <c r="D65" s="41"/>
      <c r="E65" s="42"/>
      <c r="F65" s="43"/>
      <c r="G65" s="42"/>
      <c r="H65" s="42"/>
      <c r="I65" s="42"/>
      <c r="J65" s="41"/>
      <c r="K65" s="41"/>
      <c r="L65" s="41"/>
      <c r="M65" s="41"/>
      <c r="N65" s="41"/>
      <c r="O65" s="41"/>
      <c r="P65" s="44"/>
      <c r="Q65" s="45"/>
      <c r="R65" s="45"/>
      <c r="S65" s="45"/>
      <c r="T65" s="46"/>
      <c r="U65" s="40"/>
      <c r="V65" s="41"/>
      <c r="W65" s="41"/>
      <c r="X65" s="46"/>
      <c r="Y65" s="45">
        <f>Tabela3[CONTAGEM]</f>
        <v>1</v>
      </c>
    </row>
    <row r="66" spans="1:25" ht="65.099999999999994" customHeight="1" x14ac:dyDescent="0.6">
      <c r="A66" s="40"/>
      <c r="B66" s="40"/>
      <c r="C66" s="40"/>
      <c r="D66" s="41"/>
      <c r="E66" s="42"/>
      <c r="F66" s="43"/>
      <c r="G66" s="42"/>
      <c r="H66" s="42"/>
      <c r="I66" s="42"/>
      <c r="J66" s="41"/>
      <c r="K66" s="41"/>
      <c r="L66" s="41"/>
      <c r="M66" s="41"/>
      <c r="N66" s="41"/>
      <c r="O66" s="41"/>
      <c r="P66" s="44"/>
      <c r="Q66" s="45"/>
      <c r="R66" s="45"/>
      <c r="S66" s="45"/>
      <c r="T66" s="46"/>
      <c r="U66" s="40"/>
      <c r="V66" s="41"/>
      <c r="W66" s="41"/>
      <c r="X66" s="46"/>
      <c r="Y66" s="45">
        <f>Tabela3[CONTAGEM]</f>
        <v>1</v>
      </c>
    </row>
    <row r="67" spans="1:25" ht="65.099999999999994" customHeight="1" x14ac:dyDescent="0.6">
      <c r="A67" s="40"/>
      <c r="B67" s="40"/>
      <c r="C67" s="40"/>
      <c r="D67" s="41"/>
      <c r="E67" s="42"/>
      <c r="F67" s="43"/>
      <c r="G67" s="42"/>
      <c r="H67" s="42"/>
      <c r="I67" s="42"/>
      <c r="J67" s="41"/>
      <c r="K67" s="41"/>
      <c r="L67" s="41"/>
      <c r="M67" s="41"/>
      <c r="N67" s="41"/>
      <c r="O67" s="41"/>
      <c r="P67" s="44"/>
      <c r="Q67" s="45"/>
      <c r="R67" s="45"/>
      <c r="S67" s="45"/>
      <c r="T67" s="46"/>
      <c r="U67" s="40"/>
      <c r="V67" s="41"/>
      <c r="W67" s="41"/>
      <c r="X67" s="46"/>
      <c r="Y67" s="45">
        <f>Tabela3[CONTAGEM]</f>
        <v>1</v>
      </c>
    </row>
    <row r="68" spans="1:25" ht="65.099999999999994" customHeight="1" x14ac:dyDescent="0.6">
      <c r="A68" s="40"/>
      <c r="B68" s="40"/>
      <c r="C68" s="40"/>
      <c r="D68" s="41"/>
      <c r="E68" s="42"/>
      <c r="F68" s="43"/>
      <c r="G68" s="42"/>
      <c r="H68" s="42"/>
      <c r="I68" s="42"/>
      <c r="J68" s="41"/>
      <c r="K68" s="41"/>
      <c r="L68" s="41"/>
      <c r="M68" s="41"/>
      <c r="N68" s="41"/>
      <c r="O68" s="41"/>
      <c r="P68" s="44"/>
      <c r="Q68" s="45"/>
      <c r="R68" s="45"/>
      <c r="S68" s="45"/>
      <c r="T68" s="46"/>
      <c r="U68" s="40"/>
      <c r="V68" s="41"/>
      <c r="W68" s="41"/>
      <c r="X68" s="46"/>
      <c r="Y68" s="45">
        <f>Tabela3[CONTAGEM]</f>
        <v>1</v>
      </c>
    </row>
    <row r="69" spans="1:25" ht="65.099999999999994" customHeight="1" x14ac:dyDescent="0.6">
      <c r="A69" s="40"/>
      <c r="B69" s="40"/>
      <c r="C69" s="40"/>
      <c r="D69" s="41"/>
      <c r="E69" s="42"/>
      <c r="F69" s="43"/>
      <c r="G69" s="42"/>
      <c r="H69" s="42"/>
      <c r="I69" s="42"/>
      <c r="J69" s="41"/>
      <c r="K69" s="41"/>
      <c r="L69" s="41"/>
      <c r="M69" s="41"/>
      <c r="N69" s="41"/>
      <c r="O69" s="41"/>
      <c r="P69" s="44"/>
      <c r="Q69" s="45"/>
      <c r="R69" s="45"/>
      <c r="S69" s="45"/>
      <c r="T69" s="46"/>
      <c r="U69" s="40"/>
      <c r="V69" s="41"/>
      <c r="W69" s="41"/>
      <c r="X69" s="46"/>
      <c r="Y69" s="45">
        <f>Tabela3[CONTAGEM]</f>
        <v>1</v>
      </c>
    </row>
    <row r="70" spans="1:25" ht="65.099999999999994" customHeight="1" x14ac:dyDescent="0.6">
      <c r="A70" s="40"/>
      <c r="B70" s="40"/>
      <c r="C70" s="40"/>
      <c r="D70" s="41"/>
      <c r="E70" s="42"/>
      <c r="F70" s="43"/>
      <c r="G70" s="42"/>
      <c r="H70" s="42"/>
      <c r="I70" s="42"/>
      <c r="J70" s="41"/>
      <c r="K70" s="41"/>
      <c r="L70" s="41"/>
      <c r="M70" s="41"/>
      <c r="N70" s="41"/>
      <c r="O70" s="41"/>
      <c r="P70" s="44"/>
      <c r="Q70" s="45"/>
      <c r="R70" s="45"/>
      <c r="S70" s="45"/>
      <c r="T70" s="46"/>
      <c r="U70" s="40"/>
      <c r="V70" s="41"/>
      <c r="W70" s="41"/>
      <c r="X70" s="46"/>
      <c r="Y70" s="45">
        <f>Tabela3[CONTAGEM]</f>
        <v>1</v>
      </c>
    </row>
    <row r="71" spans="1:25" ht="65.099999999999994" customHeight="1" x14ac:dyDescent="0.6">
      <c r="A71" s="40"/>
      <c r="B71" s="40"/>
      <c r="C71" s="40"/>
      <c r="D71" s="41"/>
      <c r="E71" s="42"/>
      <c r="F71" s="43"/>
      <c r="G71" s="42"/>
      <c r="H71" s="42"/>
      <c r="I71" s="42"/>
      <c r="J71" s="41"/>
      <c r="K71" s="41"/>
      <c r="L71" s="41"/>
      <c r="M71" s="41"/>
      <c r="N71" s="41"/>
      <c r="O71" s="41"/>
      <c r="P71" s="44"/>
      <c r="Q71" s="45"/>
      <c r="R71" s="45"/>
      <c r="S71" s="45"/>
      <c r="T71" s="46"/>
      <c r="U71" s="40"/>
      <c r="V71" s="41"/>
      <c r="W71" s="41"/>
      <c r="X71" s="46"/>
      <c r="Y71" s="45">
        <f>Tabela3[CONTAGEM]</f>
        <v>1</v>
      </c>
    </row>
    <row r="72" spans="1:25" ht="65.099999999999994" customHeight="1" x14ac:dyDescent="0.6">
      <c r="A72" s="40"/>
      <c r="B72" s="40"/>
      <c r="C72" s="40"/>
      <c r="D72" s="41"/>
      <c r="E72" s="42"/>
      <c r="F72" s="43"/>
      <c r="G72" s="42"/>
      <c r="H72" s="42"/>
      <c r="I72" s="42"/>
      <c r="J72" s="41"/>
      <c r="K72" s="41"/>
      <c r="L72" s="41"/>
      <c r="M72" s="41"/>
      <c r="N72" s="41"/>
      <c r="O72" s="41"/>
      <c r="P72" s="44"/>
      <c r="Q72" s="45"/>
      <c r="R72" s="45"/>
      <c r="S72" s="45"/>
      <c r="T72" s="46"/>
      <c r="U72" s="40"/>
      <c r="V72" s="41"/>
      <c r="W72" s="41"/>
      <c r="X72" s="46"/>
      <c r="Y72" s="45">
        <f>Tabela3[CONTAGEM]</f>
        <v>1</v>
      </c>
    </row>
    <row r="73" spans="1:25" ht="65.099999999999994" customHeight="1" x14ac:dyDescent="0.6">
      <c r="A73" s="40"/>
      <c r="B73" s="40"/>
      <c r="C73" s="40"/>
      <c r="D73" s="41"/>
      <c r="E73" s="42"/>
      <c r="F73" s="43"/>
      <c r="G73" s="42"/>
      <c r="H73" s="42"/>
      <c r="I73" s="42"/>
      <c r="J73" s="41"/>
      <c r="K73" s="41"/>
      <c r="L73" s="41"/>
      <c r="M73" s="41"/>
      <c r="N73" s="41"/>
      <c r="O73" s="41"/>
      <c r="P73" s="44"/>
      <c r="Q73" s="45"/>
      <c r="R73" s="45"/>
      <c r="S73" s="45"/>
      <c r="T73" s="46"/>
      <c r="U73" s="40"/>
      <c r="V73" s="41"/>
      <c r="W73" s="41"/>
      <c r="X73" s="46"/>
      <c r="Y73" s="45">
        <f>Tabela3[CONTAGEM]</f>
        <v>1</v>
      </c>
    </row>
    <row r="74" spans="1:25" ht="65.099999999999994" customHeight="1" x14ac:dyDescent="0.6">
      <c r="A74" s="40"/>
      <c r="B74" s="40"/>
      <c r="C74" s="40"/>
      <c r="D74" s="41"/>
      <c r="E74" s="42"/>
      <c r="F74" s="43"/>
      <c r="G74" s="42"/>
      <c r="H74" s="42"/>
      <c r="I74" s="42"/>
      <c r="J74" s="41"/>
      <c r="K74" s="41"/>
      <c r="L74" s="41"/>
      <c r="M74" s="41"/>
      <c r="N74" s="41"/>
      <c r="O74" s="41"/>
      <c r="P74" s="44"/>
      <c r="Q74" s="45"/>
      <c r="R74" s="45"/>
      <c r="S74" s="45"/>
      <c r="T74" s="46"/>
      <c r="U74" s="40"/>
      <c r="V74" s="41"/>
      <c r="W74" s="41"/>
      <c r="X74" s="46"/>
      <c r="Y74" s="45">
        <f>Tabela3[CONTAGEM]</f>
        <v>1</v>
      </c>
    </row>
    <row r="75" spans="1:25" ht="65.099999999999994" customHeight="1" x14ac:dyDescent="0.6">
      <c r="A75" s="40"/>
      <c r="B75" s="40"/>
      <c r="C75" s="40"/>
      <c r="D75" s="41"/>
      <c r="E75" s="42"/>
      <c r="F75" s="43"/>
      <c r="G75" s="42"/>
      <c r="H75" s="42"/>
      <c r="I75" s="42"/>
      <c r="J75" s="41"/>
      <c r="K75" s="41"/>
      <c r="L75" s="41"/>
      <c r="M75" s="41"/>
      <c r="N75" s="41"/>
      <c r="O75" s="41"/>
      <c r="P75" s="44"/>
      <c r="Q75" s="45"/>
      <c r="R75" s="45"/>
      <c r="S75" s="45"/>
      <c r="T75" s="46"/>
      <c r="U75" s="40"/>
      <c r="V75" s="41"/>
      <c r="W75" s="41"/>
      <c r="X75" s="46"/>
      <c r="Y75" s="45">
        <f>Tabela3[CONTAGEM]</f>
        <v>1</v>
      </c>
    </row>
    <row r="76" spans="1:25" ht="65.099999999999994" customHeight="1" x14ac:dyDescent="0.6">
      <c r="A76" s="40"/>
      <c r="B76" s="40"/>
      <c r="C76" s="40"/>
      <c r="D76" s="41"/>
      <c r="E76" s="42"/>
      <c r="F76" s="43"/>
      <c r="G76" s="42"/>
      <c r="H76" s="42"/>
      <c r="I76" s="42"/>
      <c r="J76" s="41"/>
      <c r="K76" s="41"/>
      <c r="L76" s="41"/>
      <c r="M76" s="41"/>
      <c r="N76" s="41"/>
      <c r="O76" s="41"/>
      <c r="P76" s="44"/>
      <c r="Q76" s="45"/>
      <c r="R76" s="45"/>
      <c r="S76" s="45"/>
      <c r="T76" s="46"/>
      <c r="U76" s="40"/>
      <c r="V76" s="41"/>
      <c r="W76" s="41"/>
      <c r="X76" s="46"/>
      <c r="Y76" s="45">
        <f>Tabela3[CONTAGEM]</f>
        <v>1</v>
      </c>
    </row>
    <row r="77" spans="1:25" ht="65.099999999999994" customHeight="1" x14ac:dyDescent="0.6">
      <c r="A77" s="40"/>
      <c r="B77" s="40"/>
      <c r="C77" s="40"/>
      <c r="D77" s="41"/>
      <c r="E77" s="42"/>
      <c r="F77" s="43"/>
      <c r="G77" s="42"/>
      <c r="H77" s="42"/>
      <c r="I77" s="42"/>
      <c r="J77" s="41"/>
      <c r="K77" s="41"/>
      <c r="L77" s="41"/>
      <c r="M77" s="41"/>
      <c r="N77" s="41"/>
      <c r="O77" s="41"/>
      <c r="P77" s="44"/>
      <c r="Q77" s="45"/>
      <c r="R77" s="45"/>
      <c r="S77" s="45"/>
      <c r="T77" s="46"/>
      <c r="U77" s="40"/>
      <c r="V77" s="41"/>
      <c r="W77" s="41"/>
      <c r="X77" s="46"/>
      <c r="Y77" s="45">
        <f>Tabela3[CONTAGEM]</f>
        <v>1</v>
      </c>
    </row>
    <row r="78" spans="1:25" ht="65.099999999999994" customHeight="1" x14ac:dyDescent="0.6">
      <c r="A78" s="40"/>
      <c r="B78" s="40"/>
      <c r="C78" s="40"/>
      <c r="D78" s="41"/>
      <c r="E78" s="42"/>
      <c r="F78" s="43"/>
      <c r="G78" s="42"/>
      <c r="H78" s="42"/>
      <c r="I78" s="42"/>
      <c r="J78" s="41"/>
      <c r="K78" s="41"/>
      <c r="L78" s="41"/>
      <c r="M78" s="41"/>
      <c r="N78" s="41"/>
      <c r="O78" s="41"/>
      <c r="P78" s="44"/>
      <c r="Q78" s="45"/>
      <c r="R78" s="45"/>
      <c r="S78" s="45"/>
      <c r="T78" s="46"/>
      <c r="U78" s="40"/>
      <c r="V78" s="41"/>
      <c r="W78" s="41"/>
      <c r="X78" s="46"/>
      <c r="Y78" s="45">
        <f>Tabela3[CONTAGEM]</f>
        <v>1</v>
      </c>
    </row>
    <row r="79" spans="1:25" ht="65.099999999999994" customHeight="1" x14ac:dyDescent="0.6">
      <c r="A79" s="40"/>
      <c r="B79" s="40"/>
      <c r="C79" s="40"/>
      <c r="D79" s="41"/>
      <c r="E79" s="42"/>
      <c r="F79" s="43"/>
      <c r="G79" s="42"/>
      <c r="H79" s="42"/>
      <c r="I79" s="42"/>
      <c r="J79" s="41"/>
      <c r="K79" s="41"/>
      <c r="L79" s="41"/>
      <c r="M79" s="41"/>
      <c r="N79" s="41"/>
      <c r="O79" s="41"/>
      <c r="P79" s="44"/>
      <c r="Q79" s="45"/>
      <c r="R79" s="47"/>
      <c r="S79" s="45"/>
      <c r="T79" s="46"/>
      <c r="U79" s="40"/>
      <c r="V79" s="41"/>
      <c r="W79" s="41"/>
      <c r="X79" s="46"/>
      <c r="Y79" s="45">
        <f>Tabela3[CONTAGEM]</f>
        <v>1</v>
      </c>
    </row>
    <row r="80" spans="1:25" ht="65.099999999999994" customHeight="1" x14ac:dyDescent="0.6">
      <c r="A80" s="40"/>
      <c r="B80" s="40"/>
      <c r="C80" s="40"/>
      <c r="D80" s="41"/>
      <c r="E80" s="42"/>
      <c r="F80" s="43"/>
      <c r="G80" s="42"/>
      <c r="H80" s="42"/>
      <c r="I80" s="42"/>
      <c r="J80" s="41"/>
      <c r="K80" s="41"/>
      <c r="L80" s="41"/>
      <c r="M80" s="41"/>
      <c r="N80" s="41"/>
      <c r="O80" s="41"/>
      <c r="P80" s="44"/>
      <c r="Q80" s="45"/>
      <c r="R80" s="45"/>
      <c r="S80" s="45"/>
      <c r="T80" s="46"/>
      <c r="U80" s="40"/>
      <c r="V80" s="41"/>
      <c r="W80" s="41"/>
      <c r="X80" s="46"/>
      <c r="Y80" s="45">
        <f>Tabela3[CONTAGEM]</f>
        <v>1</v>
      </c>
    </row>
    <row r="81" spans="1:25" ht="65.099999999999994" customHeight="1" x14ac:dyDescent="0.6">
      <c r="A81" s="40"/>
      <c r="B81" s="40"/>
      <c r="C81" s="40"/>
      <c r="D81" s="41"/>
      <c r="E81" s="42"/>
      <c r="F81" s="43"/>
      <c r="G81" s="42"/>
      <c r="H81" s="42"/>
      <c r="I81" s="42"/>
      <c r="J81" s="41"/>
      <c r="K81" s="41"/>
      <c r="L81" s="41"/>
      <c r="M81" s="41"/>
      <c r="N81" s="41"/>
      <c r="O81" s="41"/>
      <c r="P81" s="44"/>
      <c r="Q81" s="45"/>
      <c r="R81" s="45"/>
      <c r="S81" s="45"/>
      <c r="T81" s="46"/>
      <c r="U81" s="40"/>
      <c r="V81" s="41"/>
      <c r="W81" s="41"/>
      <c r="X81" s="46"/>
      <c r="Y81" s="45">
        <f>Tabela3[CONTAGEM]</f>
        <v>1</v>
      </c>
    </row>
    <row r="82" spans="1:25" ht="65.099999999999994" customHeight="1" x14ac:dyDescent="0.6">
      <c r="A82" s="40"/>
      <c r="B82" s="40"/>
      <c r="C82" s="40"/>
      <c r="D82" s="41"/>
      <c r="E82" s="42"/>
      <c r="F82" s="43"/>
      <c r="G82" s="42"/>
      <c r="H82" s="42"/>
      <c r="I82" s="42"/>
      <c r="J82" s="41"/>
      <c r="K82" s="41"/>
      <c r="L82" s="41"/>
      <c r="M82" s="41"/>
      <c r="N82" s="41"/>
      <c r="O82" s="41"/>
      <c r="P82" s="44"/>
      <c r="Q82" s="45"/>
      <c r="R82" s="45"/>
      <c r="S82" s="45"/>
      <c r="T82" s="46"/>
      <c r="U82" s="40"/>
      <c r="V82" s="41"/>
      <c r="W82" s="41"/>
      <c r="X82" s="46"/>
      <c r="Y82" s="45">
        <f>Tabela3[CONTAGEM]</f>
        <v>1</v>
      </c>
    </row>
    <row r="83" spans="1:25" ht="65.099999999999994" customHeight="1" x14ac:dyDescent="0.6">
      <c r="A83" s="40"/>
      <c r="B83" s="40"/>
      <c r="C83" s="40"/>
      <c r="D83" s="41"/>
      <c r="E83" s="42"/>
      <c r="F83" s="43"/>
      <c r="G83" s="42"/>
      <c r="H83" s="42"/>
      <c r="I83" s="42"/>
      <c r="J83" s="41"/>
      <c r="K83" s="41"/>
      <c r="L83" s="41"/>
      <c r="M83" s="41"/>
      <c r="N83" s="41"/>
      <c r="O83" s="41"/>
      <c r="P83" s="44"/>
      <c r="Q83" s="45"/>
      <c r="R83" s="45"/>
      <c r="S83" s="45"/>
      <c r="T83" s="46"/>
      <c r="U83" s="40"/>
      <c r="V83" s="41"/>
      <c r="W83" s="41"/>
      <c r="X83" s="46"/>
      <c r="Y83" s="45">
        <f>Tabela3[CONTAGEM]</f>
        <v>1</v>
      </c>
    </row>
    <row r="84" spans="1:25" ht="65.099999999999994" customHeight="1" x14ac:dyDescent="0.6">
      <c r="A84" s="40"/>
      <c r="B84" s="40"/>
      <c r="C84" s="40"/>
      <c r="D84" s="41"/>
      <c r="E84" s="42"/>
      <c r="F84" s="43"/>
      <c r="G84" s="42"/>
      <c r="H84" s="42"/>
      <c r="I84" s="42"/>
      <c r="J84" s="41"/>
      <c r="K84" s="41"/>
      <c r="L84" s="41"/>
      <c r="M84" s="41"/>
      <c r="N84" s="41"/>
      <c r="O84" s="41"/>
      <c r="P84" s="44"/>
      <c r="Q84" s="45"/>
      <c r="R84" s="45"/>
      <c r="S84" s="45"/>
      <c r="T84" s="46"/>
      <c r="U84" s="40"/>
      <c r="V84" s="41"/>
      <c r="W84" s="41"/>
      <c r="X84" s="46"/>
      <c r="Y84" s="45">
        <f>Tabela3[CONTAGEM]</f>
        <v>1</v>
      </c>
    </row>
    <row r="85" spans="1:25" ht="65.099999999999994" customHeight="1" x14ac:dyDescent="0.6">
      <c r="A85" s="40"/>
      <c r="B85" s="40"/>
      <c r="C85" s="40"/>
      <c r="D85" s="41"/>
      <c r="E85" s="42"/>
      <c r="F85" s="43"/>
      <c r="G85" s="42"/>
      <c r="H85" s="42"/>
      <c r="I85" s="42"/>
      <c r="J85" s="41"/>
      <c r="K85" s="41"/>
      <c r="L85" s="41"/>
      <c r="M85" s="41"/>
      <c r="N85" s="41"/>
      <c r="O85" s="41"/>
      <c r="P85" s="44"/>
      <c r="Q85" s="45"/>
      <c r="R85" s="45"/>
      <c r="S85" s="45"/>
      <c r="T85" s="46"/>
      <c r="U85" s="40"/>
      <c r="V85" s="41"/>
      <c r="W85" s="41"/>
      <c r="X85" s="46"/>
      <c r="Y85" s="45">
        <f>Tabela3[CONTAGEM]</f>
        <v>1</v>
      </c>
    </row>
    <row r="86" spans="1:25" ht="65.099999999999994" customHeight="1" x14ac:dyDescent="0.6">
      <c r="A86" s="40"/>
      <c r="B86" s="40"/>
      <c r="C86" s="40"/>
      <c r="D86" s="41"/>
      <c r="E86" s="42"/>
      <c r="F86" s="43"/>
      <c r="G86" s="42"/>
      <c r="H86" s="42"/>
      <c r="I86" s="42"/>
      <c r="J86" s="41"/>
      <c r="K86" s="41"/>
      <c r="L86" s="41"/>
      <c r="M86" s="41"/>
      <c r="N86" s="41"/>
      <c r="O86" s="41"/>
      <c r="P86" s="44"/>
      <c r="Q86" s="45"/>
      <c r="R86" s="45"/>
      <c r="S86" s="45"/>
      <c r="T86" s="46"/>
      <c r="U86" s="40"/>
      <c r="V86" s="41"/>
      <c r="W86" s="41"/>
      <c r="X86" s="46"/>
      <c r="Y86" s="45">
        <f>Tabela3[CONTAGEM]</f>
        <v>1</v>
      </c>
    </row>
    <row r="87" spans="1:25" ht="65.099999999999994" customHeight="1" x14ac:dyDescent="0.6">
      <c r="A87" s="40"/>
      <c r="B87" s="40"/>
      <c r="C87" s="40"/>
      <c r="D87" s="41"/>
      <c r="E87" s="42"/>
      <c r="F87" s="43"/>
      <c r="G87" s="42"/>
      <c r="H87" s="42"/>
      <c r="I87" s="42"/>
      <c r="J87" s="41"/>
      <c r="K87" s="41"/>
      <c r="L87" s="41"/>
      <c r="M87" s="41"/>
      <c r="N87" s="41"/>
      <c r="O87" s="41"/>
      <c r="P87" s="44"/>
      <c r="Q87" s="45"/>
      <c r="R87" s="45"/>
      <c r="S87" s="45"/>
      <c r="T87" s="46"/>
      <c r="U87" s="40"/>
      <c r="V87" s="41"/>
      <c r="W87" s="41"/>
      <c r="X87" s="46"/>
      <c r="Y87" s="45">
        <f>Tabela3[CONTAGEM]</f>
        <v>1</v>
      </c>
    </row>
    <row r="88" spans="1:25" ht="65.099999999999994" customHeight="1" x14ac:dyDescent="0.6">
      <c r="A88" s="40"/>
      <c r="B88" s="40"/>
      <c r="C88" s="40"/>
      <c r="D88" s="41"/>
      <c r="E88" s="42"/>
      <c r="F88" s="43"/>
      <c r="G88" s="42"/>
      <c r="H88" s="42"/>
      <c r="I88" s="42"/>
      <c r="J88" s="41"/>
      <c r="K88" s="41"/>
      <c r="L88" s="41"/>
      <c r="M88" s="41"/>
      <c r="N88" s="41"/>
      <c r="O88" s="41"/>
      <c r="P88" s="44"/>
      <c r="Q88" s="45"/>
      <c r="R88" s="45"/>
      <c r="S88" s="45"/>
      <c r="T88" s="46"/>
      <c r="U88" s="40"/>
      <c r="V88" s="41"/>
      <c r="W88" s="41"/>
      <c r="X88" s="46"/>
      <c r="Y88" s="45">
        <f>Tabela3[CONTAGEM]</f>
        <v>1</v>
      </c>
    </row>
    <row r="89" spans="1:25" ht="65.099999999999994" customHeight="1" x14ac:dyDescent="0.6">
      <c r="A89" s="40"/>
      <c r="B89" s="40"/>
      <c r="C89" s="40"/>
      <c r="D89" s="41"/>
      <c r="E89" s="42"/>
      <c r="F89" s="43"/>
      <c r="G89" s="42"/>
      <c r="H89" s="42"/>
      <c r="I89" s="42"/>
      <c r="J89" s="41"/>
      <c r="K89" s="41"/>
      <c r="L89" s="41"/>
      <c r="M89" s="41"/>
      <c r="N89" s="41"/>
      <c r="O89" s="41"/>
      <c r="P89" s="44"/>
      <c r="Q89" s="45"/>
      <c r="R89" s="45"/>
      <c r="S89" s="45"/>
      <c r="T89" s="46"/>
      <c r="U89" s="40"/>
      <c r="V89" s="41"/>
      <c r="W89" s="41"/>
      <c r="X89" s="46"/>
      <c r="Y89" s="45">
        <f>Tabela3[CONTAGEM]</f>
        <v>1</v>
      </c>
    </row>
    <row r="90" spans="1:25" ht="65.099999999999994" customHeight="1" x14ac:dyDescent="0.6">
      <c r="A90" s="40"/>
      <c r="B90" s="40"/>
      <c r="C90" s="40"/>
      <c r="D90" s="41"/>
      <c r="E90" s="42"/>
      <c r="F90" s="43"/>
      <c r="G90" s="42"/>
      <c r="H90" s="42"/>
      <c r="I90" s="42"/>
      <c r="J90" s="41"/>
      <c r="K90" s="41"/>
      <c r="L90" s="41"/>
      <c r="M90" s="41"/>
      <c r="N90" s="41"/>
      <c r="O90" s="41"/>
      <c r="P90" s="44"/>
      <c r="Q90" s="45"/>
      <c r="R90" s="45"/>
      <c r="S90" s="45"/>
      <c r="T90" s="46"/>
      <c r="U90" s="40"/>
      <c r="V90" s="41"/>
      <c r="W90" s="41"/>
      <c r="X90" s="46"/>
      <c r="Y90" s="45">
        <f>Tabela3[CONTAGEM]</f>
        <v>1</v>
      </c>
    </row>
    <row r="91" spans="1:25" ht="65.099999999999994" customHeight="1" x14ac:dyDescent="0.6">
      <c r="A91" s="40"/>
      <c r="B91" s="40"/>
      <c r="C91" s="40"/>
      <c r="D91" s="41"/>
      <c r="E91" s="42"/>
      <c r="F91" s="43"/>
      <c r="G91" s="42"/>
      <c r="H91" s="42"/>
      <c r="I91" s="42"/>
      <c r="J91" s="41"/>
      <c r="K91" s="41"/>
      <c r="L91" s="41"/>
      <c r="M91" s="41"/>
      <c r="N91" s="41"/>
      <c r="O91" s="41"/>
      <c r="P91" s="44"/>
      <c r="Q91" s="45"/>
      <c r="R91" s="45"/>
      <c r="S91" s="45"/>
      <c r="T91" s="46"/>
      <c r="U91" s="40"/>
      <c r="V91" s="41"/>
      <c r="W91" s="41"/>
      <c r="X91" s="46"/>
      <c r="Y91" s="45">
        <f>Tabela3[CONTAGEM]</f>
        <v>1</v>
      </c>
    </row>
    <row r="92" spans="1:25" ht="65.099999999999994" customHeight="1" x14ac:dyDescent="0.6">
      <c r="A92" s="40"/>
      <c r="B92" s="40"/>
      <c r="C92" s="40"/>
      <c r="D92" s="41"/>
      <c r="E92" s="42"/>
      <c r="F92" s="43"/>
      <c r="G92" s="42"/>
      <c r="H92" s="42"/>
      <c r="I92" s="42"/>
      <c r="J92" s="41"/>
      <c r="K92" s="41"/>
      <c r="L92" s="41"/>
      <c r="M92" s="41"/>
      <c r="N92" s="41"/>
      <c r="O92" s="41"/>
      <c r="P92" s="44"/>
      <c r="Q92" s="45"/>
      <c r="R92" s="45"/>
      <c r="S92" s="45"/>
      <c r="T92" s="46"/>
      <c r="U92" s="40"/>
      <c r="V92" s="41"/>
      <c r="W92" s="41"/>
      <c r="X92" s="46"/>
      <c r="Y92" s="45">
        <f>Tabela3[CONTAGEM]</f>
        <v>1</v>
      </c>
    </row>
    <row r="93" spans="1:25" ht="65.099999999999994" customHeight="1" x14ac:dyDescent="0.6">
      <c r="A93" s="40"/>
      <c r="B93" s="40"/>
      <c r="C93" s="40"/>
      <c r="D93" s="41"/>
      <c r="E93" s="42"/>
      <c r="F93" s="43"/>
      <c r="G93" s="42"/>
      <c r="H93" s="42"/>
      <c r="I93" s="42"/>
      <c r="J93" s="41"/>
      <c r="K93" s="41"/>
      <c r="L93" s="41"/>
      <c r="M93" s="41"/>
      <c r="N93" s="41"/>
      <c r="O93" s="41"/>
      <c r="P93" s="44"/>
      <c r="Q93" s="45"/>
      <c r="R93" s="45"/>
      <c r="S93" s="45"/>
      <c r="T93" s="46"/>
      <c r="U93" s="40"/>
      <c r="V93" s="41"/>
      <c r="W93" s="41"/>
      <c r="X93" s="46"/>
      <c r="Y93" s="45">
        <f>Tabela3[CONTAGEM]</f>
        <v>1</v>
      </c>
    </row>
    <row r="94" spans="1:25" ht="65.099999999999994" customHeight="1" x14ac:dyDescent="0.6">
      <c r="A94" s="40"/>
      <c r="B94" s="40"/>
      <c r="C94" s="40"/>
      <c r="D94" s="41"/>
      <c r="E94" s="42"/>
      <c r="F94" s="43"/>
      <c r="G94" s="42"/>
      <c r="H94" s="42"/>
      <c r="I94" s="42"/>
      <c r="J94" s="41"/>
      <c r="K94" s="41"/>
      <c r="L94" s="41"/>
      <c r="M94" s="41"/>
      <c r="N94" s="41"/>
      <c r="O94" s="41"/>
      <c r="P94" s="44"/>
      <c r="Q94" s="45"/>
      <c r="R94" s="45"/>
      <c r="S94" s="45"/>
      <c r="T94" s="46"/>
      <c r="U94" s="40"/>
      <c r="V94" s="41"/>
      <c r="W94" s="41"/>
      <c r="X94" s="46"/>
      <c r="Y94" s="45">
        <f>Tabela3[CONTAGEM]</f>
        <v>1</v>
      </c>
    </row>
    <row r="95" spans="1:25" ht="65.099999999999994" customHeight="1" x14ac:dyDescent="0.6">
      <c r="A95" s="40"/>
      <c r="B95" s="40"/>
      <c r="C95" s="40"/>
      <c r="D95" s="41"/>
      <c r="E95" s="42"/>
      <c r="F95" s="43"/>
      <c r="G95" s="42"/>
      <c r="H95" s="42"/>
      <c r="I95" s="42"/>
      <c r="J95" s="41"/>
      <c r="K95" s="41"/>
      <c r="L95" s="41"/>
      <c r="M95" s="41"/>
      <c r="N95" s="41"/>
      <c r="O95" s="41"/>
      <c r="P95" s="44"/>
      <c r="Q95" s="45"/>
      <c r="R95" s="45"/>
      <c r="S95" s="45"/>
      <c r="T95" s="46"/>
      <c r="U95" s="40"/>
      <c r="V95" s="41"/>
      <c r="W95" s="41"/>
      <c r="X95" s="46"/>
      <c r="Y95" s="45">
        <f>Tabela3[CONTAGEM]</f>
        <v>1</v>
      </c>
    </row>
    <row r="96" spans="1:25" ht="65.099999999999994" customHeight="1" x14ac:dyDescent="0.6">
      <c r="A96" s="40"/>
      <c r="B96" s="40"/>
      <c r="C96" s="40"/>
      <c r="D96" s="41"/>
      <c r="E96" s="42"/>
      <c r="F96" s="43"/>
      <c r="G96" s="42"/>
      <c r="H96" s="42"/>
      <c r="I96" s="42"/>
      <c r="J96" s="41"/>
      <c r="K96" s="41"/>
      <c r="L96" s="41"/>
      <c r="M96" s="41"/>
      <c r="N96" s="41"/>
      <c r="O96" s="41"/>
      <c r="P96" s="44"/>
      <c r="Q96" s="45"/>
      <c r="R96" s="45"/>
      <c r="S96" s="45"/>
      <c r="T96" s="46"/>
      <c r="U96" s="40"/>
      <c r="V96" s="41"/>
      <c r="W96" s="41"/>
      <c r="X96" s="46"/>
      <c r="Y96" s="45">
        <f>Tabela3[CONTAGEM]</f>
        <v>1</v>
      </c>
    </row>
    <row r="97" spans="1:25" ht="65.099999999999994" customHeight="1" x14ac:dyDescent="0.6">
      <c r="A97" s="40"/>
      <c r="B97" s="40"/>
      <c r="C97" s="40"/>
      <c r="D97" s="41"/>
      <c r="E97" s="42"/>
      <c r="F97" s="43"/>
      <c r="G97" s="42"/>
      <c r="H97" s="42"/>
      <c r="I97" s="42"/>
      <c r="J97" s="41"/>
      <c r="K97" s="41"/>
      <c r="L97" s="41"/>
      <c r="M97" s="41"/>
      <c r="N97" s="41"/>
      <c r="O97" s="41"/>
      <c r="P97" s="44"/>
      <c r="Q97" s="45"/>
      <c r="R97" s="45"/>
      <c r="S97" s="45"/>
      <c r="T97" s="46"/>
      <c r="U97" s="40"/>
      <c r="V97" s="41"/>
      <c r="W97" s="41"/>
      <c r="X97" s="46"/>
      <c r="Y97" s="45">
        <f>Tabela3[CONTAGEM]</f>
        <v>1</v>
      </c>
    </row>
    <row r="98" spans="1:25" ht="65.099999999999994" customHeight="1" x14ac:dyDescent="0.6">
      <c r="A98" s="40"/>
      <c r="B98" s="40"/>
      <c r="C98" s="40"/>
      <c r="D98" s="41"/>
      <c r="E98" s="42"/>
      <c r="F98" s="43"/>
      <c r="G98" s="42"/>
      <c r="H98" s="42"/>
      <c r="I98" s="42"/>
      <c r="J98" s="41"/>
      <c r="K98" s="41"/>
      <c r="L98" s="41"/>
      <c r="M98" s="41"/>
      <c r="N98" s="41"/>
      <c r="O98" s="41"/>
      <c r="P98" s="44"/>
      <c r="Q98" s="45"/>
      <c r="R98" s="45"/>
      <c r="S98" s="45"/>
      <c r="T98" s="46"/>
      <c r="U98" s="40"/>
      <c r="V98" s="41"/>
      <c r="W98" s="41"/>
      <c r="X98" s="46"/>
      <c r="Y98" s="45">
        <f>Tabela3[CONTAGEM]</f>
        <v>1</v>
      </c>
    </row>
    <row r="99" spans="1:25" ht="65.099999999999994" customHeight="1" x14ac:dyDescent="0.6">
      <c r="A99" s="40"/>
      <c r="B99" s="40"/>
      <c r="C99" s="40"/>
      <c r="D99" s="41"/>
      <c r="E99" s="42"/>
      <c r="F99" s="43"/>
      <c r="G99" s="42"/>
      <c r="H99" s="42"/>
      <c r="I99" s="42"/>
      <c r="J99" s="41"/>
      <c r="K99" s="41"/>
      <c r="L99" s="41"/>
      <c r="M99" s="41"/>
      <c r="N99" s="41"/>
      <c r="O99" s="41"/>
      <c r="P99" s="44"/>
      <c r="Q99" s="45"/>
      <c r="R99" s="45"/>
      <c r="S99" s="45"/>
      <c r="T99" s="46"/>
      <c r="U99" s="40"/>
      <c r="V99" s="41"/>
      <c r="W99" s="41"/>
      <c r="X99" s="46"/>
      <c r="Y99" s="45">
        <f>Tabela3[CONTAGEM]</f>
        <v>1</v>
      </c>
    </row>
    <row r="100" spans="1:25" ht="65.099999999999994" customHeight="1" x14ac:dyDescent="0.6">
      <c r="A100" s="40"/>
      <c r="B100" s="40"/>
      <c r="C100" s="40"/>
      <c r="D100" s="41"/>
      <c r="E100" s="42"/>
      <c r="F100" s="43"/>
      <c r="G100" s="42"/>
      <c r="H100" s="42"/>
      <c r="I100" s="42"/>
      <c r="J100" s="41"/>
      <c r="K100" s="41"/>
      <c r="L100" s="41"/>
      <c r="M100" s="41"/>
      <c r="N100" s="41"/>
      <c r="O100" s="41"/>
      <c r="P100" s="44"/>
      <c r="Q100" s="45"/>
      <c r="R100" s="45"/>
      <c r="S100" s="45"/>
      <c r="T100" s="46"/>
      <c r="U100" s="40"/>
      <c r="V100" s="41"/>
      <c r="W100" s="41"/>
      <c r="X100" s="46"/>
      <c r="Y100" s="45">
        <f>Tabela3[CONTAGEM]</f>
        <v>1</v>
      </c>
    </row>
    <row r="101" spans="1:25" ht="65.099999999999994" customHeight="1" x14ac:dyDescent="0.6">
      <c r="A101" s="40"/>
      <c r="B101" s="40"/>
      <c r="C101" s="40"/>
      <c r="D101" s="41"/>
      <c r="E101" s="42"/>
      <c r="F101" s="43"/>
      <c r="G101" s="42"/>
      <c r="H101" s="42"/>
      <c r="I101" s="42"/>
      <c r="J101" s="41"/>
      <c r="K101" s="41"/>
      <c r="L101" s="41"/>
      <c r="M101" s="41"/>
      <c r="N101" s="41"/>
      <c r="O101" s="41"/>
      <c r="P101" s="44"/>
      <c r="Q101" s="45"/>
      <c r="R101" s="45"/>
      <c r="S101" s="45"/>
      <c r="T101" s="46"/>
      <c r="U101" s="40"/>
      <c r="V101" s="41"/>
      <c r="W101" s="41"/>
      <c r="X101" s="46"/>
      <c r="Y101" s="45">
        <f>Tabela3[CONTAGEM]</f>
        <v>1</v>
      </c>
    </row>
    <row r="102" spans="1:25" ht="65.099999999999994" customHeight="1" x14ac:dyDescent="0.6">
      <c r="A102" s="40"/>
      <c r="B102" s="40"/>
      <c r="C102" s="40"/>
      <c r="D102" s="41"/>
      <c r="E102" s="42"/>
      <c r="F102" s="43"/>
      <c r="G102" s="42"/>
      <c r="H102" s="42"/>
      <c r="I102" s="42"/>
      <c r="J102" s="41"/>
      <c r="K102" s="41"/>
      <c r="L102" s="41"/>
      <c r="M102" s="41"/>
      <c r="N102" s="41"/>
      <c r="O102" s="41"/>
      <c r="P102" s="44"/>
      <c r="Q102" s="45"/>
      <c r="R102" s="45"/>
      <c r="S102" s="45"/>
      <c r="T102" s="46"/>
      <c r="U102" s="40"/>
      <c r="V102" s="41"/>
      <c r="W102" s="41"/>
      <c r="X102" s="46"/>
      <c r="Y102" s="45">
        <f>Tabela3[CONTAGEM]</f>
        <v>1</v>
      </c>
    </row>
    <row r="103" spans="1:25" ht="65.099999999999994" customHeight="1" x14ac:dyDescent="0.6">
      <c r="A103" s="40"/>
      <c r="B103" s="40"/>
      <c r="C103" s="40"/>
      <c r="D103" s="41"/>
      <c r="E103" s="42"/>
      <c r="F103" s="43"/>
      <c r="G103" s="42"/>
      <c r="H103" s="42"/>
      <c r="I103" s="42"/>
      <c r="J103" s="41"/>
      <c r="K103" s="41"/>
      <c r="L103" s="41"/>
      <c r="M103" s="41"/>
      <c r="N103" s="41"/>
      <c r="O103" s="41"/>
      <c r="P103" s="44"/>
      <c r="Q103" s="45"/>
      <c r="R103" s="45"/>
      <c r="S103" s="45"/>
      <c r="T103" s="46"/>
      <c r="U103" s="40"/>
      <c r="V103" s="41"/>
      <c r="W103" s="41"/>
      <c r="X103" s="46"/>
      <c r="Y103" s="45">
        <f>Tabela3[CONTAGEM]</f>
        <v>1</v>
      </c>
    </row>
    <row r="104" spans="1:25" ht="65.099999999999994" customHeight="1" x14ac:dyDescent="0.6">
      <c r="A104" s="40"/>
      <c r="B104" s="40"/>
      <c r="C104" s="40"/>
      <c r="D104" s="41"/>
      <c r="E104" s="42"/>
      <c r="F104" s="43"/>
      <c r="G104" s="42"/>
      <c r="H104" s="42"/>
      <c r="I104" s="42"/>
      <c r="J104" s="41"/>
      <c r="K104" s="41"/>
      <c r="L104" s="41"/>
      <c r="M104" s="41"/>
      <c r="N104" s="41"/>
      <c r="O104" s="41"/>
      <c r="P104" s="44"/>
      <c r="Q104" s="45"/>
      <c r="R104" s="45"/>
      <c r="S104" s="45"/>
      <c r="T104" s="46"/>
      <c r="U104" s="40"/>
      <c r="V104" s="41"/>
      <c r="W104" s="41"/>
      <c r="X104" s="46"/>
      <c r="Y104" s="45">
        <f>Tabela3[CONTAGEM]</f>
        <v>1</v>
      </c>
    </row>
    <row r="105" spans="1:25" ht="65.099999999999994" customHeight="1" x14ac:dyDescent="0.6">
      <c r="A105" s="40"/>
      <c r="B105" s="40"/>
      <c r="C105" s="40"/>
      <c r="D105" s="41"/>
      <c r="E105" s="42"/>
      <c r="F105" s="43"/>
      <c r="G105" s="42"/>
      <c r="H105" s="42"/>
      <c r="I105" s="42"/>
      <c r="J105" s="41"/>
      <c r="K105" s="41"/>
      <c r="L105" s="41"/>
      <c r="M105" s="41"/>
      <c r="N105" s="41"/>
      <c r="O105" s="41"/>
      <c r="P105" s="44"/>
      <c r="Q105" s="45"/>
      <c r="R105" s="45"/>
      <c r="S105" s="45"/>
      <c r="T105" s="46"/>
      <c r="U105" s="40"/>
      <c r="V105" s="41"/>
      <c r="W105" s="41"/>
      <c r="X105" s="46"/>
      <c r="Y105" s="45">
        <f>Tabela3[CONTAGEM]</f>
        <v>1</v>
      </c>
    </row>
    <row r="106" spans="1:25" ht="65.099999999999994" customHeight="1" x14ac:dyDescent="0.6">
      <c r="A106" s="40"/>
      <c r="B106" s="40"/>
      <c r="C106" s="40"/>
      <c r="D106" s="41"/>
      <c r="E106" s="42"/>
      <c r="F106" s="43"/>
      <c r="G106" s="42"/>
      <c r="H106" s="42"/>
      <c r="I106" s="42"/>
      <c r="J106" s="41"/>
      <c r="K106" s="41"/>
      <c r="L106" s="41"/>
      <c r="M106" s="41"/>
      <c r="N106" s="41"/>
      <c r="O106" s="41"/>
      <c r="P106" s="44"/>
      <c r="Q106" s="45"/>
      <c r="R106" s="45"/>
      <c r="S106" s="45"/>
      <c r="T106" s="46"/>
      <c r="U106" s="40"/>
      <c r="V106" s="41"/>
      <c r="W106" s="41"/>
      <c r="X106" s="46"/>
      <c r="Y106" s="45">
        <f>Tabela3[CONTAGEM]</f>
        <v>1</v>
      </c>
    </row>
    <row r="107" spans="1:25" ht="65.099999999999994" customHeight="1" x14ac:dyDescent="0.6">
      <c r="A107" s="40"/>
      <c r="B107" s="40"/>
      <c r="C107" s="40"/>
      <c r="D107" s="41"/>
      <c r="E107" s="42"/>
      <c r="F107" s="43"/>
      <c r="G107" s="42"/>
      <c r="H107" s="42"/>
      <c r="I107" s="42"/>
      <c r="J107" s="41"/>
      <c r="K107" s="41"/>
      <c r="L107" s="41"/>
      <c r="M107" s="41"/>
      <c r="N107" s="41"/>
      <c r="O107" s="41"/>
      <c r="P107" s="44"/>
      <c r="Q107" s="45"/>
      <c r="R107" s="45"/>
      <c r="S107" s="45"/>
      <c r="T107" s="46"/>
      <c r="U107" s="40"/>
      <c r="V107" s="41"/>
      <c r="W107" s="41"/>
      <c r="X107" s="46"/>
      <c r="Y107" s="45">
        <f>Tabela3[CONTAGEM]</f>
        <v>1</v>
      </c>
    </row>
    <row r="108" spans="1:25" ht="65.099999999999994" customHeight="1" x14ac:dyDescent="0.6">
      <c r="A108" s="40"/>
      <c r="B108" s="40"/>
      <c r="C108" s="40"/>
      <c r="D108" s="41"/>
      <c r="E108" s="42"/>
      <c r="F108" s="43"/>
      <c r="G108" s="42"/>
      <c r="H108" s="42"/>
      <c r="I108" s="42"/>
      <c r="J108" s="41"/>
      <c r="K108" s="41"/>
      <c r="L108" s="41"/>
      <c r="M108" s="41"/>
      <c r="N108" s="41"/>
      <c r="O108" s="41"/>
      <c r="P108" s="44"/>
      <c r="Q108" s="45"/>
      <c r="R108" s="45"/>
      <c r="S108" s="45"/>
      <c r="T108" s="46"/>
      <c r="U108" s="40"/>
      <c r="V108" s="41"/>
      <c r="W108" s="41"/>
      <c r="X108" s="46"/>
      <c r="Y108" s="45">
        <f>Tabela3[CONTAGEM]</f>
        <v>1</v>
      </c>
    </row>
    <row r="109" spans="1:25" ht="65.099999999999994" customHeight="1" x14ac:dyDescent="0.6">
      <c r="A109" s="40"/>
      <c r="B109" s="40"/>
      <c r="C109" s="40"/>
      <c r="D109" s="41"/>
      <c r="E109" s="42"/>
      <c r="F109" s="43"/>
      <c r="G109" s="42"/>
      <c r="H109" s="42"/>
      <c r="I109" s="42"/>
      <c r="J109" s="41"/>
      <c r="K109" s="41"/>
      <c r="L109" s="41"/>
      <c r="M109" s="41"/>
      <c r="N109" s="41"/>
      <c r="O109" s="41"/>
      <c r="P109" s="44"/>
      <c r="Q109" s="45"/>
      <c r="R109" s="45"/>
      <c r="S109" s="45"/>
      <c r="T109" s="46"/>
      <c r="U109" s="40"/>
      <c r="V109" s="41"/>
      <c r="W109" s="41"/>
      <c r="X109" s="46"/>
      <c r="Y109" s="45">
        <f>Tabela3[CONTAGEM]</f>
        <v>1</v>
      </c>
    </row>
    <row r="110" spans="1:25" ht="65.099999999999994" customHeight="1" x14ac:dyDescent="0.6">
      <c r="A110" s="40"/>
      <c r="B110" s="40"/>
      <c r="C110" s="40"/>
      <c r="D110" s="41"/>
      <c r="E110" s="42"/>
      <c r="F110" s="43"/>
      <c r="G110" s="42"/>
      <c r="H110" s="42"/>
      <c r="I110" s="42"/>
      <c r="J110" s="41"/>
      <c r="K110" s="41"/>
      <c r="L110" s="41"/>
      <c r="M110" s="41"/>
      <c r="N110" s="41"/>
      <c r="O110" s="41"/>
      <c r="P110" s="44"/>
      <c r="Q110" s="45"/>
      <c r="R110" s="45"/>
      <c r="S110" s="45"/>
      <c r="T110" s="46"/>
      <c r="U110" s="40"/>
      <c r="V110" s="41"/>
      <c r="W110" s="41"/>
      <c r="X110" s="46"/>
      <c r="Y110" s="45">
        <f>Tabela3[CONTAGEM]</f>
        <v>1</v>
      </c>
    </row>
    <row r="111" spans="1:25" ht="65.099999999999994" customHeight="1" x14ac:dyDescent="0.6">
      <c r="A111" s="40"/>
      <c r="B111" s="40"/>
      <c r="C111" s="40"/>
      <c r="D111" s="41"/>
      <c r="E111" s="42"/>
      <c r="F111" s="43"/>
      <c r="G111" s="42"/>
      <c r="H111" s="42"/>
      <c r="I111" s="42"/>
      <c r="J111" s="41"/>
      <c r="K111" s="41"/>
      <c r="L111" s="41"/>
      <c r="M111" s="41"/>
      <c r="N111" s="41"/>
      <c r="O111" s="41"/>
      <c r="P111" s="44"/>
      <c r="Q111" s="45"/>
      <c r="R111" s="45"/>
      <c r="S111" s="45"/>
      <c r="T111" s="46"/>
      <c r="U111" s="40"/>
      <c r="V111" s="41"/>
      <c r="W111" s="41"/>
      <c r="X111" s="46"/>
      <c r="Y111" s="45">
        <f>Tabela3[CONTAGEM]</f>
        <v>1</v>
      </c>
    </row>
    <row r="112" spans="1:25" ht="65.099999999999994" customHeight="1" x14ac:dyDescent="0.6">
      <c r="A112" s="40"/>
      <c r="B112" s="40"/>
      <c r="C112" s="40"/>
      <c r="D112" s="41"/>
      <c r="E112" s="42"/>
      <c r="F112" s="43"/>
      <c r="G112" s="42"/>
      <c r="H112" s="42"/>
      <c r="I112" s="42"/>
      <c r="J112" s="41"/>
      <c r="K112" s="41"/>
      <c r="L112" s="41"/>
      <c r="M112" s="41"/>
      <c r="N112" s="41"/>
      <c r="O112" s="41"/>
      <c r="P112" s="44"/>
      <c r="Q112" s="45"/>
      <c r="R112" s="45"/>
      <c r="S112" s="45"/>
      <c r="T112" s="46"/>
      <c r="U112" s="40"/>
      <c r="V112" s="41"/>
      <c r="W112" s="41"/>
      <c r="X112" s="46"/>
      <c r="Y112" s="45">
        <f>Tabela3[CONTAGEM]</f>
        <v>1</v>
      </c>
    </row>
    <row r="113" spans="1:25" ht="65.099999999999994" customHeight="1" x14ac:dyDescent="0.6">
      <c r="A113" s="40"/>
      <c r="B113" s="40"/>
      <c r="C113" s="40"/>
      <c r="D113" s="41"/>
      <c r="E113" s="42"/>
      <c r="F113" s="43"/>
      <c r="G113" s="42"/>
      <c r="H113" s="42"/>
      <c r="I113" s="42"/>
      <c r="J113" s="41"/>
      <c r="K113" s="41"/>
      <c r="L113" s="41"/>
      <c r="M113" s="41"/>
      <c r="N113" s="41"/>
      <c r="O113" s="41"/>
      <c r="P113" s="44"/>
      <c r="Q113" s="45"/>
      <c r="R113" s="45"/>
      <c r="S113" s="45"/>
      <c r="T113" s="46"/>
      <c r="U113" s="40"/>
      <c r="V113" s="41"/>
      <c r="W113" s="41"/>
      <c r="X113" s="46"/>
      <c r="Y113" s="45">
        <f>Tabela3[CONTAGEM]</f>
        <v>1</v>
      </c>
    </row>
    <row r="114" spans="1:25" ht="65.099999999999994" customHeight="1" x14ac:dyDescent="0.6">
      <c r="A114" s="40"/>
      <c r="B114" s="40"/>
      <c r="C114" s="40"/>
      <c r="D114" s="41"/>
      <c r="E114" s="42"/>
      <c r="F114" s="43"/>
      <c r="G114" s="42"/>
      <c r="H114" s="42"/>
      <c r="I114" s="42"/>
      <c r="J114" s="41"/>
      <c r="K114" s="41"/>
      <c r="L114" s="41"/>
      <c r="M114" s="41"/>
      <c r="N114" s="41"/>
      <c r="O114" s="41"/>
      <c r="P114" s="44"/>
      <c r="Q114" s="45"/>
      <c r="R114" s="45"/>
      <c r="S114" s="45"/>
      <c r="T114" s="46"/>
      <c r="U114" s="40"/>
      <c r="V114" s="41"/>
      <c r="W114" s="41"/>
      <c r="X114" s="46"/>
      <c r="Y114" s="45">
        <f>Tabela3[CONTAGEM]</f>
        <v>1</v>
      </c>
    </row>
    <row r="115" spans="1:25" ht="65.099999999999994" customHeight="1" x14ac:dyDescent="0.6">
      <c r="A115" s="40"/>
      <c r="B115" s="40"/>
      <c r="C115" s="40"/>
      <c r="D115" s="41"/>
      <c r="E115" s="42"/>
      <c r="F115" s="43"/>
      <c r="G115" s="42"/>
      <c r="H115" s="42"/>
      <c r="I115" s="42"/>
      <c r="J115" s="41"/>
      <c r="K115" s="41"/>
      <c r="L115" s="41"/>
      <c r="M115" s="41"/>
      <c r="N115" s="41"/>
      <c r="O115" s="41"/>
      <c r="P115" s="44"/>
      <c r="Q115" s="45"/>
      <c r="R115" s="45"/>
      <c r="S115" s="45"/>
      <c r="T115" s="46"/>
      <c r="U115" s="40"/>
      <c r="V115" s="41"/>
      <c r="W115" s="41"/>
      <c r="X115" s="46"/>
      <c r="Y115" s="45">
        <f>Tabela3[CONTAGEM]</f>
        <v>1</v>
      </c>
    </row>
    <row r="116" spans="1:25" ht="65.099999999999994" customHeight="1" x14ac:dyDescent="0.6">
      <c r="A116" s="40"/>
      <c r="B116" s="40"/>
      <c r="C116" s="40"/>
      <c r="D116" s="41"/>
      <c r="E116" s="42"/>
      <c r="F116" s="43"/>
      <c r="G116" s="42"/>
      <c r="H116" s="42"/>
      <c r="I116" s="42"/>
      <c r="J116" s="41"/>
      <c r="K116" s="41"/>
      <c r="L116" s="41"/>
      <c r="M116" s="41"/>
      <c r="N116" s="41"/>
      <c r="O116" s="41"/>
      <c r="P116" s="44"/>
      <c r="Q116" s="45"/>
      <c r="R116" s="45"/>
      <c r="S116" s="45"/>
      <c r="T116" s="46"/>
      <c r="U116" s="40"/>
      <c r="V116" s="41"/>
      <c r="W116" s="41"/>
      <c r="X116" s="46"/>
      <c r="Y116" s="45">
        <f>Tabela3[CONTAGEM]</f>
        <v>1</v>
      </c>
    </row>
    <row r="117" spans="1:25" ht="65.099999999999994" customHeight="1" x14ac:dyDescent="0.6">
      <c r="A117" s="40"/>
      <c r="B117" s="40"/>
      <c r="C117" s="40"/>
      <c r="D117" s="41"/>
      <c r="E117" s="42"/>
      <c r="F117" s="43"/>
      <c r="G117" s="42"/>
      <c r="H117" s="42"/>
      <c r="I117" s="42"/>
      <c r="J117" s="41"/>
      <c r="K117" s="41"/>
      <c r="L117" s="41"/>
      <c r="M117" s="41"/>
      <c r="N117" s="41"/>
      <c r="O117" s="41"/>
      <c r="P117" s="44"/>
      <c r="Q117" s="45"/>
      <c r="R117" s="45"/>
      <c r="S117" s="45"/>
      <c r="T117" s="46"/>
      <c r="U117" s="40"/>
      <c r="V117" s="41"/>
      <c r="W117" s="41"/>
      <c r="X117" s="46"/>
      <c r="Y117" s="45">
        <f>Tabela3[CONTAGEM]</f>
        <v>1</v>
      </c>
    </row>
    <row r="118" spans="1:25" ht="65.099999999999994" customHeight="1" x14ac:dyDescent="0.6">
      <c r="A118" s="40"/>
      <c r="B118" s="40"/>
      <c r="C118" s="40"/>
      <c r="D118" s="41"/>
      <c r="E118" s="42"/>
      <c r="F118" s="43"/>
      <c r="G118" s="42"/>
      <c r="H118" s="42"/>
      <c r="I118" s="42"/>
      <c r="J118" s="41"/>
      <c r="K118" s="41"/>
      <c r="L118" s="41"/>
      <c r="M118" s="41"/>
      <c r="N118" s="41"/>
      <c r="O118" s="41"/>
      <c r="P118" s="44"/>
      <c r="Q118" s="45"/>
      <c r="R118" s="45"/>
      <c r="S118" s="45"/>
      <c r="T118" s="46"/>
      <c r="U118" s="40"/>
      <c r="V118" s="41"/>
      <c r="W118" s="41"/>
      <c r="X118" s="46"/>
      <c r="Y118" s="45">
        <f>Tabela3[CONTAGEM]</f>
        <v>1</v>
      </c>
    </row>
    <row r="119" spans="1:25" ht="65.099999999999994" customHeight="1" x14ac:dyDescent="0.6">
      <c r="A119" s="40"/>
      <c r="B119" s="40"/>
      <c r="C119" s="40"/>
      <c r="D119" s="41"/>
      <c r="E119" s="42"/>
      <c r="F119" s="43"/>
      <c r="G119" s="42"/>
      <c r="H119" s="42"/>
      <c r="I119" s="42"/>
      <c r="J119" s="41"/>
      <c r="K119" s="41"/>
      <c r="L119" s="41"/>
      <c r="M119" s="41"/>
      <c r="N119" s="41"/>
      <c r="O119" s="41"/>
      <c r="P119" s="44"/>
      <c r="Q119" s="45"/>
      <c r="R119" s="45"/>
      <c r="S119" s="45"/>
      <c r="T119" s="46"/>
      <c r="U119" s="40"/>
      <c r="V119" s="41"/>
      <c r="W119" s="41"/>
      <c r="X119" s="46"/>
      <c r="Y119" s="45">
        <f>Tabela3[CONTAGEM]</f>
        <v>1</v>
      </c>
    </row>
    <row r="120" spans="1:25" ht="65.099999999999994" customHeight="1" x14ac:dyDescent="0.6">
      <c r="A120" s="40"/>
      <c r="B120" s="40"/>
      <c r="C120" s="40"/>
      <c r="D120" s="41"/>
      <c r="E120" s="42"/>
      <c r="F120" s="43"/>
      <c r="G120" s="42"/>
      <c r="H120" s="42"/>
      <c r="I120" s="42"/>
      <c r="J120" s="41"/>
      <c r="K120" s="41"/>
      <c r="L120" s="41"/>
      <c r="M120" s="41"/>
      <c r="N120" s="41"/>
      <c r="O120" s="41"/>
      <c r="P120" s="44"/>
      <c r="Q120" s="45"/>
      <c r="R120" s="45"/>
      <c r="S120" s="45"/>
      <c r="T120" s="46"/>
      <c r="U120" s="40"/>
      <c r="V120" s="41"/>
      <c r="W120" s="41"/>
      <c r="X120" s="46"/>
      <c r="Y120" s="45">
        <f>Tabela3[CONTAGEM]</f>
        <v>1</v>
      </c>
    </row>
    <row r="121" spans="1:25" ht="65.099999999999994" customHeight="1" x14ac:dyDescent="0.6">
      <c r="A121" s="40"/>
      <c r="B121" s="40"/>
      <c r="C121" s="40"/>
      <c r="D121" s="41"/>
      <c r="E121" s="42"/>
      <c r="F121" s="43"/>
      <c r="G121" s="42"/>
      <c r="H121" s="42"/>
      <c r="I121" s="42"/>
      <c r="J121" s="41"/>
      <c r="K121" s="41"/>
      <c r="L121" s="41"/>
      <c r="M121" s="41"/>
      <c r="N121" s="41"/>
      <c r="O121" s="41"/>
      <c r="P121" s="44"/>
      <c r="Q121" s="45"/>
      <c r="R121" s="45"/>
      <c r="S121" s="45"/>
      <c r="T121" s="46"/>
      <c r="U121" s="40"/>
      <c r="V121" s="41"/>
      <c r="W121" s="41"/>
      <c r="X121" s="46"/>
      <c r="Y121" s="45">
        <f>Tabela3[CONTAGEM]</f>
        <v>1</v>
      </c>
    </row>
    <row r="122" spans="1:25" ht="65.099999999999994" customHeight="1" x14ac:dyDescent="0.6">
      <c r="A122" s="40"/>
      <c r="B122" s="40"/>
      <c r="C122" s="40"/>
      <c r="D122" s="41"/>
      <c r="E122" s="42"/>
      <c r="F122" s="43"/>
      <c r="G122" s="42"/>
      <c r="H122" s="42"/>
      <c r="I122" s="42"/>
      <c r="J122" s="41"/>
      <c r="K122" s="41"/>
      <c r="L122" s="41"/>
      <c r="M122" s="41"/>
      <c r="N122" s="41"/>
      <c r="O122" s="41"/>
      <c r="P122" s="44"/>
      <c r="Q122" s="45"/>
      <c r="R122" s="45"/>
      <c r="S122" s="45"/>
      <c r="T122" s="46"/>
      <c r="U122" s="40"/>
      <c r="V122" s="41"/>
      <c r="W122" s="41"/>
      <c r="X122" s="46"/>
      <c r="Y122" s="45">
        <f>Tabela3[CONTAGEM]</f>
        <v>1</v>
      </c>
    </row>
    <row r="123" spans="1:25" ht="65.099999999999994" customHeight="1" x14ac:dyDescent="0.6">
      <c r="A123" s="40"/>
      <c r="B123" s="40"/>
      <c r="C123" s="40"/>
      <c r="D123" s="41"/>
      <c r="E123" s="42"/>
      <c r="F123" s="43"/>
      <c r="G123" s="42"/>
      <c r="H123" s="42"/>
      <c r="I123" s="42"/>
      <c r="J123" s="41"/>
      <c r="K123" s="41"/>
      <c r="L123" s="41"/>
      <c r="M123" s="41"/>
      <c r="N123" s="41"/>
      <c r="O123" s="41"/>
      <c r="P123" s="44"/>
      <c r="Q123" s="45"/>
      <c r="R123" s="45"/>
      <c r="S123" s="45"/>
      <c r="T123" s="46"/>
      <c r="U123" s="40"/>
      <c r="V123" s="41"/>
      <c r="W123" s="41"/>
      <c r="X123" s="46"/>
      <c r="Y123" s="45">
        <f>Tabela3[CONTAGEM]</f>
        <v>1</v>
      </c>
    </row>
  </sheetData>
  <mergeCells count="3">
    <mergeCell ref="T2:X2"/>
    <mergeCell ref="E4:F4"/>
    <mergeCell ref="E5:F5"/>
  </mergeCells>
  <pageMargins left="0.511811024" right="0.511811024" top="0.78740157499999996" bottom="0.78740157499999996" header="0.31496062000000002" footer="0.31496062000000002"/>
  <pageSetup paperSize="9" scale="17" fitToHeight="0" orientation="landscape" horizontalDpi="0" verticalDpi="0" r:id="rId1"/>
  <colBreaks count="1" manualBreakCount="1">
    <brk id="24" max="1048575" man="1"/>
  </colBreak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D95C5-D623-4E3B-9ADD-D9808A67F6A4}">
  <sheetPr codeName="PlanPDFEstoqueChap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865EC-0D9C-4E4F-85CF-38ECF43FBD86}">
  <sheetPr codeName="PlanPDFListaDespache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CD3BE-EA59-4787-941B-40D045D559A0}">
  <sheetPr codeName="PlanAuxiliar"/>
  <dimension ref="G2:H8"/>
  <sheetViews>
    <sheetView showGridLines="0" tabSelected="1" zoomScale="110" zoomScaleNormal="110" workbookViewId="0">
      <selection activeCell="M27" sqref="M27"/>
    </sheetView>
  </sheetViews>
  <sheetFormatPr defaultRowHeight="15" x14ac:dyDescent="0.25"/>
  <cols>
    <col min="1" max="16384" width="9.140625" style="7"/>
  </cols>
  <sheetData>
    <row r="2" spans="7:8" x14ac:dyDescent="0.25">
      <c r="G2" s="1"/>
      <c r="H2" s="7">
        <v>6299648</v>
      </c>
    </row>
    <row r="3" spans="7:8" x14ac:dyDescent="0.25">
      <c r="G3" s="2"/>
      <c r="H3" s="7">
        <v>13132800</v>
      </c>
    </row>
    <row r="4" spans="7:8" x14ac:dyDescent="0.25">
      <c r="G4" s="5"/>
      <c r="H4" s="7">
        <v>16757840</v>
      </c>
    </row>
    <row r="5" spans="7:8" x14ac:dyDescent="0.25">
      <c r="G5" s="6"/>
      <c r="H5" s="7">
        <v>16766890</v>
      </c>
    </row>
    <row r="6" spans="7:8" x14ac:dyDescent="0.25">
      <c r="G6" s="4"/>
      <c r="H6" s="7">
        <v>16770760</v>
      </c>
    </row>
    <row r="7" spans="7:8" x14ac:dyDescent="0.25">
      <c r="G7" s="3"/>
      <c r="H7" s="7">
        <v>8421504</v>
      </c>
    </row>
    <row r="8" spans="7:8" x14ac:dyDescent="0.25">
      <c r="G8" s="8"/>
      <c r="H8" s="7">
        <v>15774970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INICIO</vt:lpstr>
      <vt:lpstr>DESPACHE PDF</vt:lpstr>
      <vt:lpstr>BLOCOS PDF</vt:lpstr>
      <vt:lpstr>CHAPAS PDF</vt:lpstr>
      <vt:lpstr>LISTA DESPACHE PDF</vt:lpstr>
      <vt:lpstr>AUXILIAR</vt:lpstr>
      <vt:lpstr>'BLOCOS PDF'!Area_de_impressao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casa</cp:lastModifiedBy>
  <cp:lastPrinted>2024-04-19T17:25:25Z</cp:lastPrinted>
  <dcterms:created xsi:type="dcterms:W3CDTF">2024-03-12T19:10:34Z</dcterms:created>
  <dcterms:modified xsi:type="dcterms:W3CDTF">2024-04-24T11:16:35Z</dcterms:modified>
</cp:coreProperties>
</file>